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3.xml"/>
  <Override ContentType="application/vnd.openxmlformats-officedocument.spreadsheetml.table+xml" PartName="/xl/tables/table4.xml"/>
  <Override ContentType="application/vnd.openxmlformats-officedocument.spreadsheetml.table+xml" PartName="/xl/tables/table1.xml"/>
  <Override ContentType="application/vnd.openxmlformats-officedocument.spreadsheetml.table+xml" PartName="/xl/tables/table2.xml"/>
  <Override ContentType="application/vnd.openxmlformats-officedocument.spreadsheetml.table+xml" PartName="/xl/tables/table6.xml"/>
  <Override ContentType="application/vnd.openxmlformats-officedocument.spreadsheetml.table+xml" PartName="/xl/tables/table8.xml"/>
  <Override ContentType="application/vnd.openxmlformats-officedocument.spreadsheetml.table+xml" PartName="/xl/tables/table11.xml"/>
  <Override ContentType="application/vnd.openxmlformats-officedocument.spreadsheetml.table+xml" PartName="/xl/tables/table5.xml"/>
  <Override ContentType="application/vnd.openxmlformats-officedocument.spreadsheetml.table+xml" PartName="/xl/tables/table3.xml"/>
  <Override ContentType="application/vnd.openxmlformats-officedocument.spreadsheetml.table+xml" PartName="/xl/tables/table10.xml"/>
  <Override ContentType="application/vnd.openxmlformats-officedocument.spreadsheetml.table+xml" PartName="/xl/tables/table7.xml"/>
  <Override ContentType="application/vnd.openxmlformats-officedocument.spreadsheetml.table+xml" PartName="/xl/tables/table14.xml"/>
  <Override ContentType="application/vnd.openxmlformats-officedocument.spreadsheetml.table+xml" PartName="/xl/tables/table12.xml"/>
  <Override ContentType="application/vnd.openxmlformats-officedocument.spreadsheetml.table+xml" PartName="/xl/tables/table9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spreadsheetml.comments+xml" PartName="/xl/comments1.xml"/>
  <Override ContentType="application/vnd.openxmlformats-officedocument.spreadsheetml.comments+xml" PartName="/xl/comments3.xml"/>
  <Override ContentType="application/vnd.openxmlformats-officedocument.spreadsheetml.comments+xml" PartName="/xl/comments2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Historical Financials" sheetId="1" r:id="rId5"/>
    <sheet state="visible" name="Ratios" sheetId="2" r:id="rId6"/>
    <sheet state="visible" name="Assumptions" sheetId="3" r:id="rId7"/>
    <sheet state="visible" name="DCF" sheetId="4" r:id="rId8"/>
    <sheet state="visible" name="WACC" sheetId="5" r:id="rId9"/>
  </sheets>
  <definedNames/>
  <calcPr/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A21">
      <text>
        <t xml:space="preserve">D&amp;A as % of Revenue: 0.575% — based on FY2026 actual</t>
      </text>
    </comment>
  </commentList>
</comments>
</file>

<file path=xl/comments2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A8">
      <text>
        <t xml:space="preserve">Change in Working Capital — forecast assumption: 1% of revenue
</t>
      </text>
    </comment>
  </commentList>
</comments>
</file>

<file path=xl/comments3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B2">
      <text>
        <t xml:space="preserve">£8,920m — Wise market capitalisation, 22 Sep 2026
so £8.92 billion</t>
      </text>
    </comment>
    <comment authorId="0" ref="I9">
      <text>
        <t xml:space="preserve">Forecasted Free cash flow for 2029F</t>
      </text>
    </comment>
    <comment authorId="0" ref="E21">
      <text>
        <t xml:space="preserve">"If I change my two biggest DCF assumptions, how much does my valuation change?"</t>
      </text>
    </comment>
    <comment authorId="0" ref="I22">
      <text>
        <t xml:space="preserve">figure from 2026 financial information</t>
      </text>
    </comment>
    <comment authorId="0" ref="I21">
      <text>
        <t xml:space="preserve">figure from 2026 financial information</t>
      </text>
    </comment>
    <comment authorId="0" ref="I4">
      <text>
        <t xml:space="preserve">UK Equity Risk Premium: 5.03% — Damodaran country ERP dataset; 2026 data</t>
      </text>
    </comment>
    <comment authorId="0" ref="I20">
      <text>
        <t xml:space="preserve">PV of Forecast FCF + PV of Terminal Value</t>
      </text>
    </comment>
    <comment authorId="0" ref="I3">
      <text>
        <t xml:space="preserve">I found a directly reported beta for Wise Group PLC (LSE: WISE) from the Financial Times market-data page:
Beta = 1.4113
The FT page reports this alongside Wise's share price and identifies the security as WISE:LSE. The data was dated 10 September 2026.
Source: Financial Times market data, 10 September 2026</t>
      </text>
    </comment>
    <comment authorId="0" ref="I2">
      <text>
        <t xml:space="preserve">we'll use the UK 10-year government bond (gilt) yield as the risk-free rate.</t>
      </text>
    </comment>
    <comment authorId="0" ref="B6">
      <text>
        <t xml:space="preserve">For cost of debt:
5.35% effective annual interest rate on Wise's EMTN notes</t>
      </text>
    </comment>
    <comment authorId="0" ref="I11">
      <text>
        <t xml:space="preserve">a sensible assumption</t>
      </text>
    </comment>
  </commentList>
</comments>
</file>

<file path=xl/sharedStrings.xml><?xml version="1.0" encoding="utf-8"?>
<sst xmlns="http://schemas.openxmlformats.org/spreadsheetml/2006/main" count="237" uniqueCount="198">
  <si>
    <t>Metric</t>
  </si>
  <si>
    <t>Ratio / Metric</t>
  </si>
  <si>
    <t>A</t>
  </si>
  <si>
    <t>Driver</t>
  </si>
  <si>
    <t>FY2024</t>
  </si>
  <si>
    <t>2027F</t>
  </si>
  <si>
    <t>FY2025</t>
  </si>
  <si>
    <t>B</t>
  </si>
  <si>
    <t>2028F</t>
  </si>
  <si>
    <t>FY2026</t>
  </si>
  <si>
    <t>2029F</t>
  </si>
  <si>
    <t>FY2027 - F</t>
  </si>
  <si>
    <t>FY2028 - F</t>
  </si>
  <si>
    <t>C</t>
  </si>
  <si>
    <t>DCF Formula / Assumption</t>
  </si>
  <si>
    <t>FY2029 - F</t>
  </si>
  <si>
    <t>D</t>
  </si>
  <si>
    <t>Revenue Growth</t>
  </si>
  <si>
    <t>Historical observation</t>
  </si>
  <si>
    <t>Formula</t>
  </si>
  <si>
    <t>E</t>
  </si>
  <si>
    <t>Plain English</t>
  </si>
  <si>
    <t>Assumption</t>
  </si>
  <si>
    <t>Forecast assumption</t>
  </si>
  <si>
    <t>Value</t>
  </si>
  <si>
    <t>F</t>
  </si>
  <si>
    <t>Reason</t>
  </si>
  <si>
    <t>Explanation</t>
  </si>
  <si>
    <t>G</t>
  </si>
  <si>
    <t>Revenue</t>
  </si>
  <si>
    <t>Customer growth</t>
  </si>
  <si>
    <t>H</t>
  </si>
  <si>
    <t>Strong growth in customers</t>
  </si>
  <si>
    <t>Financial Metric</t>
  </si>
  <si>
    <t>Continued geographic expansion</t>
  </si>
  <si>
    <t>FY2023 - A</t>
  </si>
  <si>
    <t>Transaction volume</t>
  </si>
  <si>
    <t>Increasing as customers grow</t>
  </si>
  <si>
    <t>FY2024 - A</t>
  </si>
  <si>
    <t>FY2025 - A</t>
  </si>
  <si>
    <t>Higher customer usage</t>
  </si>
  <si>
    <t>FY2026 - A</t>
  </si>
  <si>
    <t>Previous Revenue × (1 + Growth)</t>
  </si>
  <si>
    <t>Geographic expansion</t>
  </si>
  <si>
    <t>Grows revenue using the assumed growth rate</t>
  </si>
  <si>
    <t>FY2027F Revenue Growth</t>
  </si>
  <si>
    <t>Increasing</t>
  </si>
  <si>
    <t>continued exspansion</t>
  </si>
  <si>
    <t>Wise guidance midpoint</t>
  </si>
  <si>
    <t>Wise adding markets and licences</t>
  </si>
  <si>
    <t>Product usage</t>
  </si>
  <si>
    <t>Net Revenue</t>
  </si>
  <si>
    <t>EBIT (Operating income)</t>
  </si>
  <si>
    <t>Customers are using Wise for more everyday financial activity</t>
  </si>
  <si>
    <t>Operating Profit Growth</t>
  </si>
  <si>
    <t>Pricing</t>
  </si>
  <si>
    <t xml:space="preserve"> reduced prices over time - more competitive</t>
  </si>
  <si>
    <t>gradual reduction</t>
  </si>
  <si>
    <t>Lower prices can support customer and transaction growth</t>
  </si>
  <si>
    <t>EBIT</t>
  </si>
  <si>
    <t>Operating Income</t>
  </si>
  <si>
    <t>FY2027 Scenario</t>
  </si>
  <si>
    <t>Operating profit before interest and tax</t>
  </si>
  <si>
    <t>FY2028F Revenue Growth</t>
  </si>
  <si>
    <t>Bear</t>
  </si>
  <si>
    <t>Model assumption</t>
  </si>
  <si>
    <t>Base</t>
  </si>
  <si>
    <t>Bull</t>
  </si>
  <si>
    <t>Tax</t>
  </si>
  <si>
    <t>Net Income Growth</t>
  </si>
  <si>
    <t>Operating Margin</t>
  </si>
  <si>
    <t>EBIT × 24.49%</t>
  </si>
  <si>
    <t>Estimated tax on operating profit</t>
  </si>
  <si>
    <t>FY2029F Revenue Growth</t>
  </si>
  <si>
    <t>Operating Profit</t>
  </si>
  <si>
    <t>NOPAT</t>
  </si>
  <si>
    <t>Net Income*</t>
  </si>
  <si>
    <t>Total Operating Expenses</t>
  </si>
  <si>
    <t>EBIT − Tax</t>
  </si>
  <si>
    <t>Capex</t>
  </si>
  <si>
    <t>Operating profit after tax</t>
  </si>
  <si>
    <t>Tax Rate</t>
  </si>
  <si>
    <t>Free Cash Flow Growth</t>
  </si>
  <si>
    <t>Based on FY2026 actual</t>
  </si>
  <si>
    <t>Depreciation</t>
  </si>
  <si>
    <t>Free Cash Flow*</t>
  </si>
  <si>
    <t>Revenue growth</t>
  </si>
  <si>
    <t>D&amp;A</t>
  </si>
  <si>
    <t>Revenue × 0.575%</t>
  </si>
  <si>
    <t>Forecast non-cash depreciation and amortisation</t>
  </si>
  <si>
    <t>D&amp;A / Revenue</t>
  </si>
  <si>
    <t>Income Before Tax</t>
  </si>
  <si>
    <t>Income before tax margin</t>
  </si>
  <si>
    <t>Revenue × Capex %</t>
  </si>
  <si>
    <t>Cash spent on long-term assets/investment</t>
  </si>
  <si>
    <t>Working Capital / Revenue</t>
  </si>
  <si>
    <t>Net Profit Margin</t>
  </si>
  <si>
    <t>Effective tax rate</t>
  </si>
  <si>
    <t>Change in Working Capital</t>
  </si>
  <si>
    <t>Net Income</t>
  </si>
  <si>
    <t>Capex as % revenue</t>
  </si>
  <si>
    <t>Working Capital</t>
  </si>
  <si>
    <t>Revenue × 1%</t>
  </si>
  <si>
    <t>Estimated cash tied up in working capital</t>
  </si>
  <si>
    <t>Illustrative WACC assumption</t>
  </si>
  <si>
    <t>Temporary</t>
  </si>
  <si>
    <t>Free Cash Flow</t>
  </si>
  <si>
    <t>Total Assets</t>
  </si>
  <si>
    <t>D&amp;A as % revenue</t>
  </si>
  <si>
    <t>FCF</t>
  </si>
  <si>
    <t>NOPAT + D&amp;A − Capex − Working Capital</t>
  </si>
  <si>
    <t>Cash generated after operating costs, tax and investment</t>
  </si>
  <si>
    <t>FCF as % revenue</t>
  </si>
  <si>
    <t>Calculated WACC for Wise</t>
  </si>
  <si>
    <t>Cash &amp; Cash Equivalents</t>
  </si>
  <si>
    <t>Wise info + assumptions</t>
  </si>
  <si>
    <t>Discount Factor (Wise's WACC)</t>
  </si>
  <si>
    <t>Total Debt</t>
  </si>
  <si>
    <t xml:space="preserve">Enterprise Value </t>
  </si>
  <si>
    <t>PV of Forecast FCF + PV of Terminal Value</t>
  </si>
  <si>
    <t>The total cost to buy an entire company, shows the real price tag of business operations</t>
  </si>
  <si>
    <t>Present Value</t>
  </si>
  <si>
    <t>Total Liabilities</t>
  </si>
  <si>
    <t>Sum of Present Value of Forecast FCF</t>
  </si>
  <si>
    <t>Enterprise Value</t>
  </si>
  <si>
    <t>Shareholders' Equity</t>
  </si>
  <si>
    <t>Operating Cash Flow</t>
  </si>
  <si>
    <t>Capital Expenditure</t>
  </si>
  <si>
    <t>WACC Inputs</t>
  </si>
  <si>
    <t>Terms</t>
  </si>
  <si>
    <t>Definitions</t>
  </si>
  <si>
    <t>Depreciation and Ammortisation</t>
  </si>
  <si>
    <t>CAPM Input</t>
  </si>
  <si>
    <t>N/A</t>
  </si>
  <si>
    <t>Source</t>
  </si>
  <si>
    <t>Terminal Growth ↓ / WACC →</t>
  </si>
  <si>
    <t>8%</t>
  </si>
  <si>
    <t>9%</t>
  </si>
  <si>
    <t>10%</t>
  </si>
  <si>
    <t>11%</t>
  </si>
  <si>
    <t>12%</t>
  </si>
  <si>
    <t>Market Value of Equity</t>
  </si>
  <si>
    <t>Share Price × Shares Outstanding</t>
  </si>
  <si>
    <t>Risk-Free Rate</t>
  </si>
  <si>
    <t>UK government bond</t>
  </si>
  <si>
    <t>Debt</t>
  </si>
  <si>
    <t>Using FY2026 actual figure</t>
  </si>
  <si>
    <t>Wise Beta</t>
  </si>
  <si>
    <t>Documented market-data source</t>
  </si>
  <si>
    <t>Total Capital</t>
  </si>
  <si>
    <t>Equity + Debt, so x + 334.7</t>
  </si>
  <si>
    <t>Equity Risk Premium</t>
  </si>
  <si>
    <t>Appropriate UK/GBP ERP source</t>
  </si>
  <si>
    <t>Cost of Equity</t>
  </si>
  <si>
    <t>Equity and debt weights</t>
  </si>
  <si>
    <t>What proportion of Wise's financing comes from equity versus debt?</t>
  </si>
  <si>
    <t>Rf + Beta × ERP</t>
  </si>
  <si>
    <t>Cost of Debt</t>
  </si>
  <si>
    <t>Equity Weight =</t>
  </si>
  <si>
    <t>Equity / (Equity + Debt)</t>
  </si>
  <si>
    <t>Debt Weight =</t>
  </si>
  <si>
    <t>Debt / (Equity + Debt)</t>
  </si>
  <si>
    <t>Equity Weight</t>
  </si>
  <si>
    <t>Cost of equity</t>
  </si>
  <si>
    <t>The return shareholders require for investing in Wise</t>
  </si>
  <si>
    <t>Debt Weight</t>
  </si>
  <si>
    <t>Cost of Equity =</t>
  </si>
  <si>
    <t>Risk Free Rate + (Beta × Equity Risk Premium)</t>
  </si>
  <si>
    <t>Final Forecast FCF</t>
  </si>
  <si>
    <t>WACC</t>
  </si>
  <si>
    <t>Risk free rate</t>
  </si>
  <si>
    <t>UK government bond yield</t>
  </si>
  <si>
    <t>How much its stock price moves relative to the overall stock market</t>
  </si>
  <si>
    <t>Terminal Growth Rate</t>
  </si>
  <si>
    <t>The rate Wise effectively pays on its borrowing</t>
  </si>
  <si>
    <t>Terminal Value</t>
  </si>
  <si>
    <t>The Gordon Growth Model</t>
  </si>
  <si>
    <t>Calculates a company's terminal value by assuming its cash flow grows at a steady rate forever.</t>
  </si>
  <si>
    <t>Terminal Discount Factor</t>
  </si>
  <si>
    <t>What are all the cash flows after FY2029 worth?</t>
  </si>
  <si>
    <t>PV of Terminal Value</t>
  </si>
  <si>
    <t xml:space="preserve">Termina Value = </t>
  </si>
  <si>
    <t>Final Year FCF × (1 + Terminal Growth Rate) / WACC − Terminal Growth Rate</t>
  </si>
  <si>
    <t>Steady, permanent percentage at which a company's cash flows are assumed to grow forever after a forecasted period</t>
  </si>
  <si>
    <t>What return do the people who provide money to Wise require?</t>
  </si>
  <si>
    <t>Valuation</t>
  </si>
  <si>
    <t>Amount</t>
  </si>
  <si>
    <t>WACC =</t>
  </si>
  <si>
    <t>(EquityWeight*CostOfEquity) +(DebtWeight*CostOfDebt*(1-TaxRate))</t>
  </si>
  <si>
    <t>PV of Forecast FCF</t>
  </si>
  <si>
    <t>Equity Value</t>
  </si>
  <si>
    <t>Value attributable to the shareholders</t>
  </si>
  <si>
    <t>Equity Value =</t>
  </si>
  <si>
    <t>Enterprise Value + Cash - Debt</t>
  </si>
  <si>
    <t>Sensativity Analysis</t>
  </si>
  <si>
    <t>What happens to the valuations if the assumptions WACC and Terminal Growth change?</t>
  </si>
  <si>
    <t>Add: Cash</t>
  </si>
  <si>
    <t>Less: Debt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</si>
</sst>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3">
    <font>
      <sz val="10.0"/>
      <color rgb="FF000000"/>
      <name val="Arial"/>
      <scheme val="minor"/>
    </font>
    <font>
      <b/>
      <color theme="1"/>
      <name val="Arial"/>
      <scheme val="minor"/>
    </font>
    <font>
      <color theme="1"/>
      <name val="Arial"/>
      <scheme val="minor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24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left" readingOrder="0" shrinkToFit="0" vertical="center" wrapText="1"/>
    </xf>
    <xf borderId="0" fillId="0" fontId="2" numFmtId="0" xfId="0" applyAlignment="1" applyFont="1">
      <alignment horizontal="left" readingOrder="0" shrinkToFit="0" vertical="center" wrapText="0"/>
    </xf>
    <xf borderId="0" fillId="0" fontId="1" numFmtId="0" xfId="0" applyAlignment="1" applyFont="1">
      <alignment horizontal="center" readingOrder="0"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0" fontId="1" numFmtId="0" xfId="0" applyAlignment="1" applyFont="1">
      <alignment horizontal="right" readingOrder="0" shrinkToFit="0" vertical="center" wrapText="0"/>
    </xf>
    <xf borderId="0" fillId="0" fontId="2" numFmtId="9" xfId="0" applyAlignment="1" applyFont="1" applyNumberForma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2" numFmtId="0" xfId="0" applyAlignment="1" applyFont="1">
      <alignment shrinkToFit="0" vertical="center" wrapText="0"/>
    </xf>
    <xf borderId="0" fillId="0" fontId="2" numFmtId="10" xfId="0" applyAlignment="1" applyFont="1" applyNumberFormat="1">
      <alignment readingOrder="0" shrinkToFit="0" vertical="center" wrapText="0"/>
    </xf>
    <xf borderId="0" fillId="0" fontId="2" numFmtId="10" xfId="0" applyAlignment="1" applyFont="1" applyNumberFormat="1">
      <alignment shrinkToFit="0" vertical="center" wrapText="0"/>
    </xf>
    <xf borderId="0" fillId="0" fontId="2" numFmtId="10" xfId="0" applyAlignment="1" applyFont="1" applyNumberFormat="1">
      <alignment readingOrder="0" shrinkToFit="0" vertical="center" wrapText="0"/>
    </xf>
    <xf borderId="0" fillId="0" fontId="2" numFmtId="4" xfId="0" applyAlignment="1" applyFont="1" applyNumberFormat="1">
      <alignment readingOrder="0" shrinkToFit="0" vertical="center" wrapText="0"/>
    </xf>
    <xf borderId="0" fillId="0" fontId="2" numFmtId="4" xfId="0" applyAlignment="1" applyFont="1" applyNumberFormat="1">
      <alignment horizontal="right" readingOrder="0" shrinkToFit="0" vertical="center" wrapText="0"/>
    </xf>
    <xf borderId="0" fillId="0" fontId="2" numFmtId="9" xfId="0" applyAlignment="1" applyFont="1" applyNumberFormat="1">
      <alignment horizontal="right" readingOrder="0" shrinkToFit="0" vertical="center" wrapText="0"/>
    </xf>
    <xf borderId="0" fillId="0" fontId="2" numFmtId="0" xfId="0" applyAlignment="1" applyFont="1">
      <alignment horizontal="right" readingOrder="0" shrinkToFit="0" vertical="center" wrapText="0"/>
    </xf>
    <xf borderId="0" fillId="0" fontId="2" numFmtId="0" xfId="0" applyAlignment="1" applyFont="1">
      <alignment shrinkToFit="0" vertical="center" wrapText="0"/>
    </xf>
    <xf borderId="0" fillId="0" fontId="2" numFmtId="0" xfId="0" applyAlignment="1" applyFont="1">
      <alignment readingOrder="0"/>
    </xf>
    <xf borderId="0" fillId="0" fontId="2" numFmtId="0" xfId="0" applyFont="1"/>
    <xf borderId="0" fillId="0" fontId="1" numFmtId="9" xfId="0" applyAlignment="1" applyFont="1" applyNumberFormat="1">
      <alignment horizontal="right" readingOrder="0" shrinkToFit="0" vertical="center" wrapText="0"/>
    </xf>
    <xf borderId="0" fillId="0" fontId="2" numFmtId="3" xfId="0" applyAlignment="1" applyFont="1" applyNumberFormat="1">
      <alignment readingOrder="0" shrinkToFit="0" vertical="center" wrapText="0"/>
    </xf>
    <xf borderId="0" fillId="0" fontId="2" numFmtId="10" xfId="0" applyAlignment="1" applyFont="1" applyNumberFormat="1">
      <alignment horizontal="right" readingOrder="0" shrinkToFit="0" vertical="center" wrapText="0"/>
    </xf>
    <xf borderId="0" fillId="0" fontId="2" numFmtId="0" xfId="0" applyAlignment="1" applyFont="1">
      <alignment horizontal="right" shrinkToFit="0" vertical="center" wrapText="0"/>
    </xf>
    <xf borderId="0" fillId="0" fontId="2" numFmtId="3" xfId="0" applyAlignment="1" applyFont="1" applyNumberFormat="1">
      <alignment horizontal="right" shrinkToFit="0" vertical="center" wrapText="0"/>
    </xf>
  </cellXfs>
  <cellStyles count="1">
    <cellStyle xfId="0" name="Normal" builtinId="0"/>
  </cellStyles>
  <dxfs count="5">
    <dxf>
      <font/>
      <fill>
        <patternFill patternType="none"/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</dxfs>
  <tableStyles count="14">
    <tableStyle count="4" pivot="0" name="DCF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Assumptions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Historical Financials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Ratios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DCF-style 2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Assumptions-style 2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DCF-style 3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Assumptions-style 3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WACC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WACC-style 2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WACC-style 3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WACC-style 4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WACC-style 5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WACC-style 6">
      <tableStyleElement dxfId="1" type="headerRow"/>
      <tableStyleElement dxfId="2" type="firstRowStripe"/>
      <tableStyleElement dxfId="3" type="secondRowStripe"/>
      <tableStyleElement dxfId="4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A1:H17" displayName="Table1" name="Table1" id="2">
  <tableColumns count="8">
    <tableColumn name="A" id="1"/>
    <tableColumn name="B" id="2"/>
    <tableColumn name="C" id="3"/>
    <tableColumn name="D" id="4"/>
    <tableColumn name="E" id="5"/>
    <tableColumn name="F" id="6"/>
    <tableColumn name="G" id="7"/>
    <tableColumn name="H" id="8"/>
  </tableColumns>
  <tableStyleInfo name="Historical Financials-style" showColumnStripes="0" showFirstColumn="1" showLastColumn="1" showRowStripes="1"/>
</table>
</file>

<file path=xl/tables/table2.xml><?xml version="1.0" encoding="utf-8"?>
<table xmlns="http://schemas.openxmlformats.org/spreadsheetml/2006/main" ref="A1:G8" displayName="Table2" name="Table2" id="1">
  <tableColumns count="7">
    <tableColumn name="Ratio / Metric" id="1"/>
    <tableColumn name="FY2024" id="2"/>
    <tableColumn name="FY2025" id="3"/>
    <tableColumn name="FY2026" id="4"/>
    <tableColumn name="FY2027 - F" id="5"/>
    <tableColumn name="FY2028 - F" id="6"/>
    <tableColumn name="FY2029 - F" id="7"/>
  </tableColumns>
  <tableStyleInfo name="Ratios-style" showColumnStripes="0" showFirstColumn="1" showLastColumn="1" showRowStripes="1"/>
</table>
</file>

<file path=xl/tables/table3.xml><?xml version="1.0" encoding="utf-8"?>
<table xmlns="http://schemas.openxmlformats.org/spreadsheetml/2006/main" ref="A1:D6" displayName="Table3" name="Table3" id="3">
  <tableColumns count="4">
    <tableColumn name="Driver" id="1"/>
    <tableColumn name="Historical observation" id="2"/>
    <tableColumn name="Forecast assumption" id="3"/>
    <tableColumn name="Reason" id="4"/>
  </tableColumns>
  <tableStyleInfo name="Assumptions-style" showColumnStripes="0" showFirstColumn="1" showLastColumn="1" showRowStripes="1"/>
</table>
</file>

<file path=xl/tables/table4.xml><?xml version="1.0" encoding="utf-8"?>
<table xmlns="http://schemas.openxmlformats.org/spreadsheetml/2006/main" ref="A8:D14" displayName="Table4" name="Table4" id="6">
  <tableColumns count="4">
    <tableColumn name="FY2027 Scenario" id="1"/>
    <tableColumn name="Bear" id="2"/>
    <tableColumn name="Base" id="3"/>
    <tableColumn name="Bull" id="4"/>
  </tableColumns>
  <tableStyleInfo name="Assumptions-style 2" showColumnStripes="0" showFirstColumn="1" showLastColumn="1" showRowStripes="1"/>
</table>
</file>

<file path=xl/tables/table5.xml><?xml version="1.0" encoding="utf-8"?>
<table xmlns="http://schemas.openxmlformats.org/spreadsheetml/2006/main" ref="A16:D22" displayName="Table6" name="Table6" id="8">
  <tableColumns count="4">
    <tableColumn name="Assumption" id="1"/>
    <tableColumn name="2027F" id="2"/>
    <tableColumn name="2028F" id="3"/>
    <tableColumn name="2029F" id="4"/>
  </tableColumns>
  <tableStyleInfo name="Assumptions-style 3" showColumnStripes="0" showFirstColumn="1" showLastColumn="1" showRowStripes="1"/>
</table>
</file>

<file path=xl/tables/table6.xml><?xml version="1.0" encoding="utf-8"?>
<table xmlns="http://schemas.openxmlformats.org/spreadsheetml/2006/main" ref="A1:D11" displayName="Table5" name="Table5" id="4">
  <tableColumns count="4">
    <tableColumn name="Metric" id="1"/>
    <tableColumn name="2027F" id="2"/>
    <tableColumn name="2028F" id="3"/>
    <tableColumn name="2029F" id="4"/>
  </tableColumns>
  <tableStyleInfo name="DCF-style" showColumnStripes="0" showFirstColumn="1" showLastColumn="1" showRowStripes="1"/>
</table>
</file>

<file path=xl/tables/table7.xml><?xml version="1.0" encoding="utf-8"?>
<table xmlns="http://schemas.openxmlformats.org/spreadsheetml/2006/main" ref="F1:H10" displayName="Table7" name="Table7" id="5">
  <tableColumns count="3">
    <tableColumn name="DCF Formula / Assumption" id="1"/>
    <tableColumn name="Formula" id="2"/>
    <tableColumn name="Plain English" id="3"/>
  </tableColumns>
  <tableStyleInfo name="DCF-style 2" showColumnStripes="0" showFirstColumn="1" showLastColumn="1" showRowStripes="1"/>
</table>
</file>

<file path=xl/tables/table8.xml><?xml version="1.0" encoding="utf-8"?>
<table xmlns="http://schemas.openxmlformats.org/spreadsheetml/2006/main" ref="J1:L9" displayName="Table8" name="Table8" id="7">
  <tableColumns count="3">
    <tableColumn name="Assumption" id="1"/>
    <tableColumn name="Value" id="2"/>
    <tableColumn name="Explanation" id="3"/>
  </tableColumns>
  <tableStyleInfo name="DCF-style 3" showColumnStripes="0" showFirstColumn="1" showLastColumn="1" showRowStripes="1"/>
</table>
</file>

<file path=xl/tables/table9.xml><?xml version="1.0" encoding="utf-8"?>
<table xmlns="http://schemas.openxmlformats.org/spreadsheetml/2006/main" ref="A1:B10" displayName="Table9" name="Table9" id="9">
  <tableColumns count="2">
    <tableColumn name="WACC Inputs" id="1"/>
    <tableColumn name="B" id="2"/>
  </tableColumns>
  <tableStyleInfo name="WACC-style" showColumnStripes="0" showFirstColumn="1" showLastColumn="1" showRowStripes="1"/>
</table>
</file>

<file path=xl/tables/table10.xml><?xml version="1.0" encoding="utf-8"?>
<table xmlns="http://schemas.openxmlformats.org/spreadsheetml/2006/main" ref="E1:F21" displayName="Table10" name="Table10" id="10">
  <tableColumns count="2">
    <tableColumn name="Terms" id="1"/>
    <tableColumn name="Definitions" id="2"/>
  </tableColumns>
  <tableStyleInfo name="WACC-style 2" showColumnStripes="0" showFirstColumn="1" showLastColumn="1" showRowStripes="1"/>
</table>
</file>

<file path=xl/tables/table11.xml><?xml version="1.0" encoding="utf-8"?>
<table xmlns="http://schemas.openxmlformats.org/spreadsheetml/2006/main" ref="H1:J5" displayName="Table11" name="Table11" id="11">
  <tableColumns count="3">
    <tableColumn name="CAPM Input" id="1"/>
    <tableColumn name="Value" id="2"/>
    <tableColumn name="Source" id="3"/>
  </tableColumns>
  <tableStyleInfo name="WACC-style 3" showColumnStripes="0" showFirstColumn="1" showLastColumn="1" showRowStripes="1"/>
</table>
</file>

<file path=xl/tables/table12.xml><?xml version="1.0" encoding="utf-8"?>
<table xmlns="http://schemas.openxmlformats.org/spreadsheetml/2006/main" ref="M1:R6" displayName="Sensativity_Analysis_for_Enterprise_Value" name="Sensativity_Analysis_for_Enterprise_Value" id="12">
  <tableColumns count="6">
    <tableColumn name="Terminal Growth ↓ / WACC →" id="1"/>
    <tableColumn name="8%" id="2"/>
    <tableColumn name="9%" id="3"/>
    <tableColumn name="10%" id="4"/>
    <tableColumn name="11%" id="5"/>
    <tableColumn name="12%" id="6"/>
  </tableColumns>
  <tableStyleInfo name="WACC-style 4" showColumnStripes="0" showFirstColumn="1" showLastColumn="1" showRowStripes="1"/>
</table>
</file>

<file path=xl/tables/table13.xml><?xml version="1.0" encoding="utf-8"?>
<table xmlns="http://schemas.openxmlformats.org/spreadsheetml/2006/main" ref="H8:I14" displayName="Terminal_Value" name="Terminal_Value" id="13">
  <tableColumns count="2">
    <tableColumn name="Metric" id="1"/>
    <tableColumn name="Value" id="2"/>
  </tableColumns>
  <tableStyleInfo name="WACC-style 5" showColumnStripes="0" showFirstColumn="1" showLastColumn="1" showRowStripes="1"/>
</table>
</file>

<file path=xl/tables/table14.xml><?xml version="1.0" encoding="utf-8"?>
<table xmlns="http://schemas.openxmlformats.org/spreadsheetml/2006/main" ref="H17:I23" displayName="Wise_Valuation" name="Wise_Valuation" id="14">
  <tableColumns count="2">
    <tableColumn name="Valuation" id="1"/>
    <tableColumn name="Amount" id="2"/>
  </tableColumns>
  <tableStyleInfo name="WACC-style 6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Relationship Id="rId3" Type="http://schemas.openxmlformats.org/officeDocument/2006/relationships/table" Target="../tables/table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Relationship Id="rId3" Type="http://schemas.openxmlformats.org/officeDocument/2006/relationships/table" Target="../tables/table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3.xml"/><Relationship Id="rId3" Type="http://schemas.openxmlformats.org/officeDocument/2006/relationships/vmlDrawing" Target="../drawings/vmlDrawing1.vml"/><Relationship Id="rId9" Type="http://schemas.openxmlformats.org/officeDocument/2006/relationships/table" Target="../tables/table5.xml"/><Relationship Id="rId7" Type="http://schemas.openxmlformats.org/officeDocument/2006/relationships/table" Target="../tables/table3.xml"/><Relationship Id="rId8" Type="http://schemas.openxmlformats.org/officeDocument/2006/relationships/table" Target="../tables/table4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comments" Target="../comments2.xml"/><Relationship Id="rId2" Type="http://schemas.openxmlformats.org/officeDocument/2006/relationships/drawing" Target="../drawings/drawing4.xml"/><Relationship Id="rId3" Type="http://schemas.openxmlformats.org/officeDocument/2006/relationships/vmlDrawing" Target="../drawings/vmlDrawing2.vml"/><Relationship Id="rId9" Type="http://schemas.openxmlformats.org/officeDocument/2006/relationships/table" Target="../tables/table8.xml"/><Relationship Id="rId7" Type="http://schemas.openxmlformats.org/officeDocument/2006/relationships/table" Target="../tables/table6.xml"/><Relationship Id="rId8" Type="http://schemas.openxmlformats.org/officeDocument/2006/relationships/table" Target="../tables/table7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comments" Target="../comments3.xml"/><Relationship Id="rId2" Type="http://schemas.openxmlformats.org/officeDocument/2006/relationships/drawing" Target="../drawings/drawing5.xml"/><Relationship Id="rId3" Type="http://schemas.openxmlformats.org/officeDocument/2006/relationships/vmlDrawing" Target="../drawings/vmlDrawing3.vml"/><Relationship Id="rId11" Type="http://schemas.openxmlformats.org/officeDocument/2006/relationships/table" Target="../tables/table10.xml"/><Relationship Id="rId10" Type="http://schemas.openxmlformats.org/officeDocument/2006/relationships/table" Target="../tables/table9.xml"/><Relationship Id="rId13" Type="http://schemas.openxmlformats.org/officeDocument/2006/relationships/table" Target="../tables/table12.xml"/><Relationship Id="rId12" Type="http://schemas.openxmlformats.org/officeDocument/2006/relationships/table" Target="../tables/table11.xml"/><Relationship Id="rId15" Type="http://schemas.openxmlformats.org/officeDocument/2006/relationships/table" Target="../tables/table14.xml"/><Relationship Id="rId14" Type="http://schemas.openxmlformats.org/officeDocument/2006/relationships/table" Target="../tables/table13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22.63"/>
    <col customWidth="1" min="2" max="3" width="15.5"/>
    <col customWidth="1" min="4" max="4" width="17.63"/>
    <col customWidth="1" min="5" max="8" width="17.88"/>
    <col customWidth="1" min="9" max="10" width="22.63"/>
  </cols>
  <sheetData>
    <row r="1" ht="22.5" customHeight="1">
      <c r="A1" s="1" t="s">
        <v>2</v>
      </c>
      <c r="B1" s="1" t="s">
        <v>7</v>
      </c>
      <c r="C1" s="1" t="s">
        <v>13</v>
      </c>
      <c r="D1" s="1" t="s">
        <v>16</v>
      </c>
      <c r="E1" s="1" t="s">
        <v>20</v>
      </c>
      <c r="F1" s="1" t="s">
        <v>25</v>
      </c>
      <c r="G1" s="1" t="s">
        <v>28</v>
      </c>
      <c r="H1" s="1" t="s">
        <v>31</v>
      </c>
    </row>
    <row r="2" ht="22.5" customHeight="1">
      <c r="A2" s="7" t="s">
        <v>33</v>
      </c>
      <c r="B2" s="3" t="s">
        <v>35</v>
      </c>
      <c r="C2" s="3" t="s">
        <v>38</v>
      </c>
      <c r="D2" s="3" t="s">
        <v>39</v>
      </c>
      <c r="E2" s="3" t="s">
        <v>41</v>
      </c>
      <c r="F2" s="3" t="s">
        <v>11</v>
      </c>
      <c r="G2" s="3" t="s">
        <v>12</v>
      </c>
      <c r="H2" s="3" t="s">
        <v>15</v>
      </c>
    </row>
    <row r="3" ht="22.5" customHeight="1">
      <c r="A3" s="4" t="s">
        <v>51</v>
      </c>
      <c r="B3" s="12">
        <v>1020.4</v>
      </c>
      <c r="C3" s="4">
        <v>1776.1</v>
      </c>
      <c r="D3" s="4">
        <v>2098.9</v>
      </c>
      <c r="E3" s="4">
        <v>2502.8</v>
      </c>
      <c r="F3" s="4">
        <f>E3*(1+Ratios!E2)</f>
        <v>2940.79</v>
      </c>
      <c r="G3" s="4">
        <f>F3*(1+Ratios!F2)</f>
        <v>3440.7243</v>
      </c>
      <c r="H3" s="4">
        <f>G3*(1+Ratios!G2)</f>
        <v>3991.240188</v>
      </c>
    </row>
    <row r="4" ht="22.5" customHeight="1">
      <c r="A4" s="4" t="s">
        <v>77</v>
      </c>
      <c r="B4" s="12">
        <v>580.1</v>
      </c>
      <c r="C4" s="12">
        <v>1126.0</v>
      </c>
      <c r="D4" s="12">
        <v>1370.7</v>
      </c>
      <c r="E4" s="12">
        <v>1912.1</v>
      </c>
      <c r="F4" s="12">
        <v>2283.19</v>
      </c>
      <c r="G4" s="12">
        <v>2702.12</v>
      </c>
      <c r="H4" s="12">
        <v>3170.13</v>
      </c>
    </row>
    <row r="5" ht="22.5" customHeight="1">
      <c r="A5" s="4" t="s">
        <v>60</v>
      </c>
      <c r="B5" s="4">
        <v>189.6</v>
      </c>
      <c r="C5" s="4">
        <v>650.1</v>
      </c>
      <c r="D5" s="4">
        <v>728.2</v>
      </c>
      <c r="E5" s="4">
        <v>590.7</v>
      </c>
      <c r="F5" s="4">
        <v>657.6</v>
      </c>
      <c r="G5" s="4">
        <v>738.62</v>
      </c>
      <c r="H5" s="4">
        <v>821.1</v>
      </c>
    </row>
    <row r="6" ht="22.5" customHeight="1">
      <c r="A6" s="4" t="s">
        <v>91</v>
      </c>
      <c r="B6" s="4">
        <v>176.7</v>
      </c>
      <c r="C6" s="4">
        <v>656.7</v>
      </c>
      <c r="D6" s="4">
        <v>717.5</v>
      </c>
      <c r="E6" s="4">
        <v>660.4</v>
      </c>
      <c r="F6" s="4">
        <f>F3*Assumptions!B18</f>
        <v>735.1975</v>
      </c>
      <c r="G6" s="4">
        <f>G3*Assumptions!C18</f>
        <v>825.773832</v>
      </c>
      <c r="H6" s="4">
        <f>H3*Assumptions!D18</f>
        <v>917.9852432</v>
      </c>
    </row>
    <row r="7" ht="22.5" customHeight="1">
      <c r="A7" s="4" t="s">
        <v>99</v>
      </c>
      <c r="B7" s="4">
        <v>137.5</v>
      </c>
      <c r="C7" s="4">
        <v>501.5</v>
      </c>
      <c r="D7" s="4">
        <v>550.3</v>
      </c>
      <c r="E7" s="4">
        <v>498.7</v>
      </c>
      <c r="F7" s="4">
        <v>555.1</v>
      </c>
      <c r="G7" s="4">
        <v>623.5</v>
      </c>
      <c r="H7" s="4">
        <v>693.2</v>
      </c>
    </row>
    <row r="8" ht="22.5" customHeight="1">
      <c r="A8" s="4" t="s">
        <v>107</v>
      </c>
      <c r="B8" s="12">
        <v>14695.7</v>
      </c>
      <c r="C8" s="12">
        <v>19022.5</v>
      </c>
      <c r="D8" s="12">
        <v>24781.1</v>
      </c>
      <c r="E8" s="12">
        <v>33259.8</v>
      </c>
      <c r="F8" s="12"/>
      <c r="G8" s="12"/>
      <c r="H8" s="12"/>
    </row>
    <row r="9" ht="22.5" customHeight="1">
      <c r="A9" s="4" t="s">
        <v>114</v>
      </c>
      <c r="B9" s="12">
        <v>9480.2</v>
      </c>
      <c r="C9" s="12">
        <v>13245.7</v>
      </c>
      <c r="D9" s="12">
        <v>18066.3</v>
      </c>
      <c r="E9" s="12">
        <v>27802.2</v>
      </c>
      <c r="F9" s="12"/>
      <c r="G9" s="12"/>
      <c r="H9" s="12"/>
    </row>
    <row r="10" ht="22.5" customHeight="1">
      <c r="A10" s="4" t="s">
        <v>117</v>
      </c>
      <c r="B10" s="4">
        <v>326.4</v>
      </c>
      <c r="C10" s="4">
        <v>256.1</v>
      </c>
      <c r="D10" s="4">
        <v>128.4</v>
      </c>
      <c r="E10" s="4">
        <v>334.7</v>
      </c>
      <c r="F10" s="4"/>
      <c r="G10" s="4"/>
      <c r="H10" s="4"/>
    </row>
    <row r="11" ht="22.5" customHeight="1">
      <c r="A11" s="4" t="s">
        <v>122</v>
      </c>
      <c r="B11" s="12">
        <v>13983.6</v>
      </c>
      <c r="C11" s="12">
        <v>17857.4</v>
      </c>
      <c r="D11" s="12">
        <v>23043.7</v>
      </c>
      <c r="E11" s="12">
        <v>31334.6</v>
      </c>
      <c r="F11" s="12"/>
      <c r="G11" s="12"/>
      <c r="H11" s="12"/>
    </row>
    <row r="12" ht="22.5" customHeight="1">
      <c r="A12" s="4" t="s">
        <v>125</v>
      </c>
      <c r="B12" s="12">
        <v>712.2</v>
      </c>
      <c r="C12" s="12">
        <v>1165.1</v>
      </c>
      <c r="D12" s="12">
        <v>1737.4</v>
      </c>
      <c r="E12" s="12">
        <v>1925.2</v>
      </c>
      <c r="F12" s="12"/>
      <c r="G12" s="12"/>
      <c r="H12" s="12"/>
    </row>
    <row r="13" ht="22.5" customHeight="1">
      <c r="A13" s="4" t="s">
        <v>126</v>
      </c>
      <c r="B13" s="12">
        <v>4727.4</v>
      </c>
      <c r="C13" s="12">
        <v>4075.1</v>
      </c>
      <c r="D13" s="12">
        <v>5719.5</v>
      </c>
      <c r="E13" s="12">
        <v>7553.9</v>
      </c>
      <c r="F13" s="12">
        <v>857.1</v>
      </c>
      <c r="G13" s="12">
        <v>1033.2</v>
      </c>
      <c r="H13" s="12">
        <v>1237.3</v>
      </c>
    </row>
    <row r="14" ht="22.5" customHeight="1">
      <c r="A14" s="4" t="s">
        <v>127</v>
      </c>
      <c r="B14" s="4">
        <v>10.6</v>
      </c>
      <c r="C14" s="4">
        <v>16.4</v>
      </c>
      <c r="D14" s="4">
        <v>45.3</v>
      </c>
      <c r="E14" s="4">
        <v>21.4</v>
      </c>
      <c r="F14" s="4">
        <v>29.41</v>
      </c>
      <c r="G14" s="4">
        <v>34.41</v>
      </c>
      <c r="H14" s="4">
        <v>39.91</v>
      </c>
    </row>
    <row r="15" ht="22.5" customHeight="1">
      <c r="A15" s="4" t="s">
        <v>131</v>
      </c>
      <c r="B15" s="4" t="s">
        <v>133</v>
      </c>
      <c r="C15" s="4">
        <v>14.3</v>
      </c>
      <c r="D15" s="4">
        <v>9.7</v>
      </c>
      <c r="E15" s="4">
        <v>14.4</v>
      </c>
      <c r="F15" s="4"/>
      <c r="G15" s="4"/>
      <c r="H15" s="4"/>
    </row>
    <row r="16" ht="22.5" customHeight="1">
      <c r="A16" s="4" t="s">
        <v>106</v>
      </c>
      <c r="B16" s="4">
        <v>188.1</v>
      </c>
      <c r="C16" s="4">
        <v>586.8</v>
      </c>
      <c r="D16" s="4">
        <v>742.2</v>
      </c>
      <c r="E16" s="4">
        <v>705.4</v>
      </c>
      <c r="F16" s="4">
        <v>827.4</v>
      </c>
      <c r="G16" s="4">
        <v>998.0</v>
      </c>
      <c r="H16" s="12">
        <v>1197.4</v>
      </c>
    </row>
    <row r="17" ht="22.5" customHeight="1">
      <c r="A17" s="4"/>
      <c r="B17" s="16"/>
      <c r="C17" s="16"/>
      <c r="D17" s="16"/>
      <c r="E17" s="16"/>
      <c r="F17" s="16"/>
      <c r="G17" s="16"/>
      <c r="H17" s="16"/>
    </row>
  </sheetData>
  <drawing r:id="rId1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22.63"/>
    <col customWidth="1" min="2" max="2" width="19.25"/>
    <col customWidth="1" min="3" max="3" width="19.38"/>
    <col customWidth="1" min="4" max="7" width="18.88"/>
    <col customWidth="1" min="8" max="9" width="22.63"/>
  </cols>
  <sheetData>
    <row r="1" ht="22.5" customHeight="1">
      <c r="A1" s="1" t="s">
        <v>1</v>
      </c>
      <c r="B1" s="1" t="s">
        <v>4</v>
      </c>
      <c r="C1" s="1" t="s">
        <v>6</v>
      </c>
      <c r="D1" s="1" t="s">
        <v>9</v>
      </c>
      <c r="E1" s="1" t="s">
        <v>11</v>
      </c>
      <c r="F1" s="1" t="s">
        <v>12</v>
      </c>
      <c r="G1" s="1" t="s">
        <v>15</v>
      </c>
    </row>
    <row r="2" ht="22.5" customHeight="1">
      <c r="A2" s="4" t="s">
        <v>17</v>
      </c>
      <c r="B2" s="9">
        <f>'Historical Financials'!C3/'Historical Financials'!B3-1</f>
        <v>0.7405919247</v>
      </c>
      <c r="C2" s="10">
        <f>('Historical Financials'!D3-'Historical Financials'!C3)/'Historical Financials'!C3</f>
        <v>0.1817465233</v>
      </c>
      <c r="D2" s="10">
        <f>('Historical Financials'!E3-'Historical Financials'!D3)/'Historical Financials'!D3</f>
        <v>0.1924341322</v>
      </c>
      <c r="E2" s="9">
        <v>0.175</v>
      </c>
      <c r="F2" s="9">
        <v>0.17</v>
      </c>
      <c r="G2" s="9">
        <v>0.16</v>
      </c>
    </row>
    <row r="3" ht="22.5" customHeight="1">
      <c r="A3" s="4" t="s">
        <v>54</v>
      </c>
      <c r="B3" s="10">
        <f>'Historical Financials'!C5/'Historical Financials'!B5-1</f>
        <v>2.428797468</v>
      </c>
      <c r="C3" s="10">
        <f>('Historical Financials'!D5-'Historical Financials'!C5)/'Historical Financials'!C5</f>
        <v>0.1201353638</v>
      </c>
      <c r="D3" s="10">
        <f>('Historical Financials'!E5-'Historical Financials'!D5)/'Historical Financials'!D5</f>
        <v>-0.1888217523</v>
      </c>
      <c r="E3" s="10"/>
      <c r="F3" s="10"/>
      <c r="G3" s="10"/>
    </row>
    <row r="4" ht="22.5" customHeight="1">
      <c r="A4" s="4" t="s">
        <v>69</v>
      </c>
      <c r="B4" s="10">
        <f>'Historical Financials'!C7/'Historical Financials'!B7-1</f>
        <v>2.647272727</v>
      </c>
      <c r="C4" s="10">
        <f>('Historical Financials'!D7-'Historical Financials'!C7)/'Historical Financials'!C7</f>
        <v>0.09730807577</v>
      </c>
      <c r="D4" s="10">
        <f>('Historical Financials'!E7-'Historical Financials'!D7)/'Historical Financials'!D7</f>
        <v>-0.09376703616</v>
      </c>
      <c r="E4" s="10"/>
      <c r="F4" s="10"/>
      <c r="G4" s="10"/>
    </row>
    <row r="5" ht="22.5" customHeight="1">
      <c r="A5" s="4" t="s">
        <v>82</v>
      </c>
      <c r="B5" s="10">
        <f>'Historical Financials'!C16/'Historical Financials'!B16-1</f>
        <v>2.119617225</v>
      </c>
      <c r="C5" s="10">
        <f>('Historical Financials'!D16-'Historical Financials'!C16)/'Historical Financials'!C16</f>
        <v>0.2648261759</v>
      </c>
      <c r="D5" s="10">
        <f>('Historical Financials'!E16-'Historical Financials'!D16)/'Historical Financials'!D16</f>
        <v>-0.04958232282</v>
      </c>
      <c r="E5" s="10"/>
      <c r="F5" s="10"/>
      <c r="G5" s="10"/>
    </row>
    <row r="6" ht="22.5" customHeight="1">
      <c r="A6" s="4" t="s">
        <v>70</v>
      </c>
      <c r="B6" s="10">
        <f>'Historical Financials'!C5/'Historical Financials'!C3</f>
        <v>0.3660266877</v>
      </c>
      <c r="C6" s="10">
        <f>'Historical Financials'!D5/'Historical Financials'!D3</f>
        <v>0.3469436371</v>
      </c>
      <c r="D6" s="10">
        <f>'Historical Financials'!E5/'Historical Financials'!E3</f>
        <v>0.2360156625</v>
      </c>
      <c r="E6" s="10"/>
      <c r="F6" s="10"/>
      <c r="G6" s="10"/>
    </row>
    <row r="7" ht="22.5" customHeight="1">
      <c r="A7" s="4" t="s">
        <v>96</v>
      </c>
      <c r="B7" s="10">
        <f>'Historical Financials'!C7/'Historical Financials'!C3</f>
        <v>0.2823602275</v>
      </c>
      <c r="C7" s="10">
        <f>'Historical Financials'!D7/'Historical Financials'!D3</f>
        <v>0.262184954</v>
      </c>
      <c r="D7" s="10">
        <f>'Historical Financials'!E7/'Historical Financials'!E3</f>
        <v>0.1992568323</v>
      </c>
      <c r="E7" s="10"/>
      <c r="F7" s="10"/>
      <c r="G7" s="10"/>
    </row>
    <row r="8" ht="22.5" customHeight="1">
      <c r="A8" s="16"/>
      <c r="B8" s="10"/>
      <c r="C8" s="10"/>
      <c r="D8" s="10"/>
      <c r="E8" s="10"/>
      <c r="F8" s="10"/>
      <c r="G8" s="10"/>
    </row>
  </sheetData>
  <dataValidations>
    <dataValidation type="custom" allowBlank="1" showDropDown="1" sqref="B2:D8">
      <formula1>AND(ISNUMBER(B2),(NOT(OR(NOT(ISERROR(DATEVALUE(B2))), AND(ISNUMBER(B2), LEFT(CELL("format", B2))="D")))))</formula1>
    </dataValidation>
  </dataValidations>
  <drawing r:id="rId1"/>
  <tableParts count="1"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16.88"/>
    <col customWidth="1" min="2" max="2" width="29.13"/>
    <col customWidth="1" min="3" max="3" width="24.5"/>
    <col customWidth="1" min="4" max="4" width="47.38"/>
  </cols>
  <sheetData>
    <row r="1" ht="22.5" customHeight="1">
      <c r="A1" s="3" t="s">
        <v>3</v>
      </c>
      <c r="B1" s="3" t="s">
        <v>18</v>
      </c>
      <c r="C1" s="3" t="s">
        <v>23</v>
      </c>
      <c r="D1" s="3" t="s">
        <v>26</v>
      </c>
    </row>
    <row r="2" ht="22.5" customHeight="1">
      <c r="A2" s="4" t="s">
        <v>30</v>
      </c>
      <c r="B2" s="4" t="s">
        <v>32</v>
      </c>
      <c r="C2" s="6">
        <v>0.15</v>
      </c>
      <c r="D2" s="4" t="s">
        <v>34</v>
      </c>
    </row>
    <row r="3" ht="22.5" customHeight="1">
      <c r="A3" s="4" t="s">
        <v>36</v>
      </c>
      <c r="B3" s="4" t="s">
        <v>37</v>
      </c>
      <c r="C3" s="6">
        <v>0.18</v>
      </c>
      <c r="D3" s="4" t="s">
        <v>40</v>
      </c>
    </row>
    <row r="4" ht="22.5" customHeight="1">
      <c r="A4" s="4" t="s">
        <v>43</v>
      </c>
      <c r="B4" s="4" t="s">
        <v>46</v>
      </c>
      <c r="C4" s="4" t="s">
        <v>47</v>
      </c>
      <c r="D4" s="4" t="s">
        <v>49</v>
      </c>
    </row>
    <row r="5" ht="22.5" customHeight="1">
      <c r="A5" s="4" t="s">
        <v>50</v>
      </c>
      <c r="B5" s="4" t="s">
        <v>46</v>
      </c>
      <c r="C5" s="4" t="s">
        <v>46</v>
      </c>
      <c r="D5" s="4" t="s">
        <v>53</v>
      </c>
    </row>
    <row r="6" ht="22.5" customHeight="1">
      <c r="A6" s="4" t="s">
        <v>55</v>
      </c>
      <c r="B6" s="4" t="s">
        <v>56</v>
      </c>
      <c r="C6" s="4" t="s">
        <v>57</v>
      </c>
      <c r="D6" s="4" t="s">
        <v>58</v>
      </c>
    </row>
    <row r="8" ht="22.5" customHeight="1">
      <c r="A8" s="3" t="s">
        <v>61</v>
      </c>
      <c r="B8" s="5" t="s">
        <v>64</v>
      </c>
      <c r="C8" s="5" t="s">
        <v>66</v>
      </c>
      <c r="D8" s="5" t="s">
        <v>67</v>
      </c>
    </row>
    <row r="9" ht="22.5" customHeight="1">
      <c r="A9" s="4" t="s">
        <v>29</v>
      </c>
      <c r="B9" s="13">
        <v>2703.02</v>
      </c>
      <c r="C9" s="13">
        <v>2878.22</v>
      </c>
      <c r="D9" s="13">
        <v>3053.42</v>
      </c>
    </row>
    <row r="10" ht="22.5" customHeight="1">
      <c r="A10" s="4" t="s">
        <v>70</v>
      </c>
      <c r="B10" s="14">
        <v>0.15</v>
      </c>
      <c r="C10" s="14">
        <v>0.2</v>
      </c>
      <c r="D10" s="14">
        <v>0.24</v>
      </c>
    </row>
    <row r="11" ht="22.5" customHeight="1">
      <c r="A11" s="4" t="s">
        <v>74</v>
      </c>
      <c r="B11" s="15">
        <v>405.45</v>
      </c>
      <c r="C11" s="15">
        <v>575.64</v>
      </c>
      <c r="D11" s="15">
        <v>732.82</v>
      </c>
    </row>
    <row r="12" ht="22.5" customHeight="1">
      <c r="A12" s="4" t="s">
        <v>76</v>
      </c>
      <c r="B12" s="15">
        <v>305.35</v>
      </c>
      <c r="C12" s="15">
        <v>433.24</v>
      </c>
      <c r="D12" s="15">
        <v>551.14</v>
      </c>
    </row>
    <row r="13" ht="22.5" customHeight="1">
      <c r="A13" s="4" t="s">
        <v>79</v>
      </c>
      <c r="B13" s="15">
        <v>189.21</v>
      </c>
      <c r="C13" s="15">
        <v>143.91</v>
      </c>
      <c r="D13" s="15">
        <v>122.14</v>
      </c>
    </row>
    <row r="14" ht="22.5" customHeight="1">
      <c r="A14" s="4" t="s">
        <v>85</v>
      </c>
      <c r="B14" s="15">
        <v>667.89</v>
      </c>
      <c r="C14" s="15">
        <v>719.31</v>
      </c>
      <c r="D14" s="15">
        <v>798.87</v>
      </c>
    </row>
    <row r="16" ht="22.5" customHeight="1">
      <c r="A16" s="3" t="s">
        <v>22</v>
      </c>
      <c r="B16" s="5" t="s">
        <v>5</v>
      </c>
      <c r="C16" s="5" t="s">
        <v>8</v>
      </c>
      <c r="D16" s="5" t="s">
        <v>10</v>
      </c>
    </row>
    <row r="17" ht="22.5" customHeight="1">
      <c r="A17" s="4" t="s">
        <v>86</v>
      </c>
      <c r="B17" s="11">
        <v>0.175</v>
      </c>
      <c r="C17" s="9">
        <v>0.17</v>
      </c>
      <c r="D17" s="11">
        <v>0.16</v>
      </c>
    </row>
    <row r="18" ht="22.5" customHeight="1">
      <c r="A18" s="4" t="s">
        <v>92</v>
      </c>
      <c r="B18" s="11">
        <v>0.25</v>
      </c>
      <c r="C18" s="9">
        <v>0.24</v>
      </c>
      <c r="D18" s="11">
        <v>0.23</v>
      </c>
    </row>
    <row r="19" ht="22.5" customHeight="1">
      <c r="A19" s="4" t="s">
        <v>97</v>
      </c>
      <c r="B19" s="11">
        <v>0.2449</v>
      </c>
      <c r="C19" s="9">
        <v>0.2449</v>
      </c>
      <c r="D19" s="11">
        <v>0.2449</v>
      </c>
    </row>
    <row r="20" ht="22.5" customHeight="1">
      <c r="A20" s="4" t="s">
        <v>100</v>
      </c>
      <c r="B20" s="11">
        <v>0.01</v>
      </c>
      <c r="C20" s="9">
        <v>0.01</v>
      </c>
      <c r="D20" s="11">
        <v>0.01</v>
      </c>
    </row>
    <row r="21" ht="22.5" customHeight="1">
      <c r="A21" s="4" t="s">
        <v>108</v>
      </c>
      <c r="B21" s="11">
        <v>0.00575</v>
      </c>
      <c r="C21" s="9">
        <v>0.0058</v>
      </c>
      <c r="D21" s="11">
        <v>0.00575</v>
      </c>
    </row>
    <row r="22" ht="22.5" customHeight="1">
      <c r="A22" s="4" t="s">
        <v>112</v>
      </c>
      <c r="B22" s="11">
        <v>0.28</v>
      </c>
      <c r="C22" s="9">
        <v>0.29</v>
      </c>
      <c r="D22" s="11">
        <v>0.3</v>
      </c>
    </row>
  </sheetData>
  <dataValidations>
    <dataValidation type="custom" allowBlank="1" showDropDown="1" sqref="B17:D22">
      <formula1>AND(ISNUMBER(B17),(NOT(OR(NOT(ISERROR(DATEVALUE(B17))), AND(ISNUMBER(B17), LEFT(CELL("format", B17))="D")))))</formula1>
    </dataValidation>
  </dataValidations>
  <drawing r:id="rId2"/>
  <legacyDrawing r:id="rId3"/>
  <tableParts count="3">
    <tablePart r:id="rId7"/>
    <tablePart r:id="rId8"/>
    <tablePart r:id="rId9"/>
  </tableParts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25.25"/>
    <col customWidth="1" min="6" max="6" width="25.63"/>
    <col customWidth="1" min="7" max="7" width="35.25"/>
    <col customWidth="1" min="8" max="8" width="68.25"/>
    <col customWidth="1" min="10" max="10" width="23.5"/>
    <col customWidth="1" min="11" max="11" width="13.0"/>
    <col customWidth="1" min="12" max="12" width="20.25"/>
  </cols>
  <sheetData>
    <row r="1" ht="22.5" customHeight="1">
      <c r="A1" s="2" t="s">
        <v>0</v>
      </c>
      <c r="B1" s="2" t="s">
        <v>5</v>
      </c>
      <c r="C1" s="2" t="s">
        <v>8</v>
      </c>
      <c r="D1" s="2" t="s">
        <v>10</v>
      </c>
      <c r="F1" s="3" t="s">
        <v>14</v>
      </c>
      <c r="G1" s="3" t="s">
        <v>19</v>
      </c>
      <c r="H1" s="3" t="s">
        <v>21</v>
      </c>
      <c r="J1" s="3" t="s">
        <v>22</v>
      </c>
      <c r="K1" s="5" t="s">
        <v>24</v>
      </c>
      <c r="L1" s="3" t="s">
        <v>27</v>
      </c>
    </row>
    <row r="2" ht="22.5" customHeight="1">
      <c r="A2" s="4" t="s">
        <v>29</v>
      </c>
      <c r="B2" s="8">
        <f>'Historical Financials'!F3</f>
        <v>2940.79</v>
      </c>
      <c r="C2" s="8">
        <f>'Historical Financials'!G3</f>
        <v>3440.7243</v>
      </c>
      <c r="D2" s="8">
        <f>'Historical Financials'!H3</f>
        <v>3991.240188</v>
      </c>
      <c r="F2" s="4" t="s">
        <v>29</v>
      </c>
      <c r="G2" s="4" t="s">
        <v>42</v>
      </c>
      <c r="H2" s="4" t="s">
        <v>44</v>
      </c>
      <c r="J2" s="4" t="s">
        <v>45</v>
      </c>
      <c r="K2" s="11">
        <v>0.175</v>
      </c>
      <c r="L2" s="4" t="s">
        <v>48</v>
      </c>
    </row>
    <row r="3" ht="22.5" customHeight="1">
      <c r="A3" s="4" t="s">
        <v>52</v>
      </c>
      <c r="B3" s="8">
        <f>'Historical Financials'!F5</f>
        <v>657.6</v>
      </c>
      <c r="C3" s="8">
        <f>'Historical Financials'!G5</f>
        <v>738.62</v>
      </c>
      <c r="D3" s="8">
        <f>'Historical Financials'!H5</f>
        <v>821.1</v>
      </c>
      <c r="F3" s="4" t="s">
        <v>59</v>
      </c>
      <c r="G3" s="4" t="s">
        <v>60</v>
      </c>
      <c r="H3" s="4" t="s">
        <v>62</v>
      </c>
      <c r="J3" s="4" t="s">
        <v>63</v>
      </c>
      <c r="K3" s="11">
        <v>0.17</v>
      </c>
      <c r="L3" s="4" t="s">
        <v>65</v>
      </c>
    </row>
    <row r="4" ht="22.5" customHeight="1">
      <c r="A4" s="4" t="s">
        <v>68</v>
      </c>
      <c r="B4" s="8">
        <f>B3*Assumptions!B19</f>
        <v>161.04624</v>
      </c>
      <c r="C4" s="8">
        <f>C3*Assumptions!C19</f>
        <v>180.888038</v>
      </c>
      <c r="D4" s="8">
        <f>D3*Assumptions!D19</f>
        <v>201.08739</v>
      </c>
      <c r="F4" s="4" t="s">
        <v>68</v>
      </c>
      <c r="G4" s="4" t="s">
        <v>71</v>
      </c>
      <c r="H4" s="4" t="s">
        <v>72</v>
      </c>
      <c r="J4" s="4" t="s">
        <v>73</v>
      </c>
      <c r="K4" s="11">
        <v>0.16</v>
      </c>
      <c r="L4" s="4" t="s">
        <v>65</v>
      </c>
    </row>
    <row r="5" ht="22.5" customHeight="1">
      <c r="A5" s="4" t="s">
        <v>75</v>
      </c>
      <c r="B5" s="8">
        <f t="shared" ref="B5:D5" si="1">B3-B4</f>
        <v>496.55376</v>
      </c>
      <c r="C5" s="8">
        <f t="shared" si="1"/>
        <v>557.731962</v>
      </c>
      <c r="D5" s="8">
        <f t="shared" si="1"/>
        <v>620.01261</v>
      </c>
      <c r="F5" s="4" t="s">
        <v>75</v>
      </c>
      <c r="G5" s="4" t="s">
        <v>78</v>
      </c>
      <c r="H5" s="4" t="s">
        <v>80</v>
      </c>
      <c r="J5" s="4" t="s">
        <v>81</v>
      </c>
      <c r="K5" s="11">
        <v>0.2449</v>
      </c>
      <c r="L5" s="4" t="s">
        <v>83</v>
      </c>
    </row>
    <row r="6" ht="22.5" customHeight="1">
      <c r="A6" s="4" t="s">
        <v>84</v>
      </c>
      <c r="B6" s="8">
        <f>'Historical Financials'!F3 * Assumptions!B21</f>
        <v>16.9095425</v>
      </c>
      <c r="C6" s="8">
        <f>'Historical Financials'!G3 * Assumptions!C21</f>
        <v>19.95620094</v>
      </c>
      <c r="D6" s="8">
        <f>'Historical Financials'!H3 * Assumptions!D21</f>
        <v>22.94963108</v>
      </c>
      <c r="F6" s="4" t="s">
        <v>87</v>
      </c>
      <c r="G6" s="4" t="s">
        <v>88</v>
      </c>
      <c r="H6" s="4" t="s">
        <v>89</v>
      </c>
      <c r="J6" s="4" t="s">
        <v>90</v>
      </c>
      <c r="K6" s="11">
        <v>0.00575</v>
      </c>
      <c r="L6" s="4" t="s">
        <v>83</v>
      </c>
    </row>
    <row r="7" ht="22.5" customHeight="1">
      <c r="A7" s="4" t="s">
        <v>79</v>
      </c>
      <c r="B7" s="8">
        <f>'Historical Financials'!F14</f>
        <v>29.41</v>
      </c>
      <c r="C7" s="8">
        <f>'Historical Financials'!G14</f>
        <v>34.41</v>
      </c>
      <c r="D7" s="8">
        <f>'Historical Financials'!H14</f>
        <v>39.91</v>
      </c>
      <c r="F7" s="4" t="s">
        <v>79</v>
      </c>
      <c r="G7" s="4" t="s">
        <v>93</v>
      </c>
      <c r="H7" s="4" t="s">
        <v>94</v>
      </c>
      <c r="J7" s="4" t="s">
        <v>95</v>
      </c>
      <c r="K7" s="11">
        <v>0.01</v>
      </c>
      <c r="L7" s="4" t="s">
        <v>65</v>
      </c>
    </row>
    <row r="8" ht="22.5" customHeight="1">
      <c r="A8" s="4" t="s">
        <v>98</v>
      </c>
      <c r="B8" s="8">
        <f t="shared" ref="B8:D8" si="2">B2*0.01</f>
        <v>29.4079</v>
      </c>
      <c r="C8" s="8">
        <f t="shared" si="2"/>
        <v>34.407243</v>
      </c>
      <c r="D8" s="8">
        <f t="shared" si="2"/>
        <v>39.91240188</v>
      </c>
      <c r="F8" s="4" t="s">
        <v>101</v>
      </c>
      <c r="G8" s="4" t="s">
        <v>102</v>
      </c>
      <c r="H8" s="4" t="s">
        <v>103</v>
      </c>
      <c r="J8" s="4" t="s">
        <v>104</v>
      </c>
      <c r="K8" s="11">
        <v>0.1</v>
      </c>
      <c r="L8" s="4" t="s">
        <v>105</v>
      </c>
    </row>
    <row r="9" ht="22.5" customHeight="1">
      <c r="A9" s="4" t="s">
        <v>106</v>
      </c>
      <c r="B9" s="8">
        <f t="shared" ref="B9:D9" si="3">B5+B6-B7-B8</f>
        <v>454.6454025</v>
      </c>
      <c r="C9" s="4">
        <f t="shared" si="3"/>
        <v>508.8709199</v>
      </c>
      <c r="D9" s="8">
        <f t="shared" si="3"/>
        <v>563.1398392</v>
      </c>
      <c r="F9" s="4" t="s">
        <v>109</v>
      </c>
      <c r="G9" s="4" t="s">
        <v>110</v>
      </c>
      <c r="H9" s="4" t="s">
        <v>111</v>
      </c>
      <c r="J9" s="4" t="s">
        <v>113</v>
      </c>
      <c r="K9" s="11">
        <v>0.1204</v>
      </c>
      <c r="L9" s="4" t="s">
        <v>115</v>
      </c>
    </row>
    <row r="10" ht="22.5" customHeight="1">
      <c r="A10" s="4" t="s">
        <v>116</v>
      </c>
      <c r="B10" s="8">
        <f>ROUND(1/(1+12.04%)^1,4)</f>
        <v>0.8925</v>
      </c>
      <c r="C10" s="8">
        <f>ROUND(1/(1+12.04%)^2,4)</f>
        <v>0.7966</v>
      </c>
      <c r="D10" s="8">
        <f>ROUND(1/(1+12.04%)^3,4)</f>
        <v>0.711</v>
      </c>
      <c r="F10" s="4" t="s">
        <v>118</v>
      </c>
      <c r="G10" s="4" t="s">
        <v>119</v>
      </c>
      <c r="H10" s="4" t="s">
        <v>120</v>
      </c>
    </row>
    <row r="11" ht="22.5" customHeight="1">
      <c r="A11" s="4" t="s">
        <v>121</v>
      </c>
      <c r="B11" s="8">
        <f t="shared" ref="B11:D11" si="4">ROUND((B9*B10),3)</f>
        <v>405.771</v>
      </c>
      <c r="C11" s="8">
        <f t="shared" si="4"/>
        <v>405.367</v>
      </c>
      <c r="D11" s="8">
        <f t="shared" si="4"/>
        <v>400.392</v>
      </c>
    </row>
    <row r="13">
      <c r="A13" s="17" t="s">
        <v>123</v>
      </c>
      <c r="C13" s="18">
        <f>SUM(B11:D11)</f>
        <v>1211.53</v>
      </c>
    </row>
    <row r="14">
      <c r="A14" s="17" t="s">
        <v>124</v>
      </c>
      <c r="C14" s="18">
        <f>C13+WACC!I14</f>
        <v>4620.412</v>
      </c>
    </row>
  </sheetData>
  <dataValidations>
    <dataValidation type="custom" allowBlank="1" showDropDown="1" sqref="K2:K9">
      <formula1>AND(ISNUMBER(K2),(NOT(OR(NOT(ISERROR(DATEVALUE(K2))), AND(ISNUMBER(K2), LEFT(CELL("format", K2))="D")))))</formula1>
    </dataValidation>
  </dataValidations>
  <drawing r:id="rId2"/>
  <legacyDrawing r:id="rId3"/>
  <tableParts count="3">
    <tablePart r:id="rId7"/>
    <tablePart r:id="rId8"/>
    <tablePart r:id="rId9"/>
  </tableParts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23.13"/>
    <col customWidth="1" min="5" max="5" width="21.63"/>
    <col customWidth="1" min="6" max="6" width="90.5"/>
    <col customWidth="1" min="8" max="8" width="20.88"/>
    <col customWidth="1" min="9" max="9" width="14.38"/>
    <col customWidth="1" min="10" max="10" width="26.5"/>
    <col customWidth="1" min="12" max="12" width="14.38"/>
    <col customWidth="1" min="13" max="13" width="30.63"/>
    <col customWidth="1" min="15" max="15" width="15.25"/>
  </cols>
  <sheetData>
    <row r="1" ht="22.5" customHeight="1">
      <c r="A1" s="3" t="s">
        <v>128</v>
      </c>
      <c r="B1" s="5" t="s">
        <v>7</v>
      </c>
      <c r="E1" s="3" t="s">
        <v>129</v>
      </c>
      <c r="F1" s="5" t="s">
        <v>130</v>
      </c>
      <c r="H1" s="3" t="s">
        <v>132</v>
      </c>
      <c r="I1" s="5" t="s">
        <v>24</v>
      </c>
      <c r="J1" s="3" t="s">
        <v>134</v>
      </c>
      <c r="M1" s="3" t="s">
        <v>135</v>
      </c>
      <c r="N1" s="19" t="s">
        <v>136</v>
      </c>
      <c r="O1" s="19" t="s">
        <v>137</v>
      </c>
      <c r="P1" s="19" t="s">
        <v>138</v>
      </c>
      <c r="Q1" s="19" t="s">
        <v>139</v>
      </c>
      <c r="R1" s="19" t="s">
        <v>140</v>
      </c>
    </row>
    <row r="2" ht="22.5" customHeight="1">
      <c r="A2" s="4" t="s">
        <v>141</v>
      </c>
      <c r="B2" s="20">
        <v>8920.0</v>
      </c>
      <c r="E2" s="4" t="s">
        <v>141</v>
      </c>
      <c r="F2" s="2" t="s">
        <v>142</v>
      </c>
      <c r="H2" s="4" t="s">
        <v>143</v>
      </c>
      <c r="I2" s="21">
        <v>0.052392</v>
      </c>
      <c r="J2" s="4" t="s">
        <v>144</v>
      </c>
      <c r="M2" s="11">
        <v>0.015</v>
      </c>
      <c r="N2" s="22">
        <f>ROUND(454.65/(1+8%)+508.72/(1+8%)^2+563.18/(1+8%)^3+((446.238*(1+1.5%))/(8%-1.5%))/(1+8%)^3,3)</f>
        <v>6835.752</v>
      </c>
      <c r="O2" s="22">
        <f>ROUND(454.65/(1+9%)+508.72/(1+9%)^2+563.18/(1+9%)^3+((446.238*(1+1.5%))/(9%-1.5%))/(1+9%)^3,3)</f>
        <v>5943.452</v>
      </c>
      <c r="P2" s="22">
        <f>ROUND(454.65/(1+10%)+508.72/(1+10%)^2+563.18/(1+10%)^3+((446.238*(1+1.5%))/(10%-1.5%))/(1+10%)^3,3)</f>
        <v>5260.334</v>
      </c>
      <c r="Q2" s="22">
        <f>ROUND(454.65/(1+11%)+508.72/(1+11%)^2+563.18/(1+11%)^3+((446.238*(1+1.5%))/(11%-1.5%))/(1+11%)^3,3)</f>
        <v>4720.377</v>
      </c>
      <c r="R2" s="22">
        <f>ROUND(454.65/(1+12%)+508.72/(1+12%)^2+563.18/(1+12%)^3+((446.238*(1+1.5%))/(12%-1.5%))/(1+12%)^3,3)</f>
        <v>4282.706</v>
      </c>
    </row>
    <row r="3" ht="22.5" customHeight="1">
      <c r="A3" s="4" t="s">
        <v>145</v>
      </c>
      <c r="B3" s="4">
        <v>334.7</v>
      </c>
      <c r="E3" s="4" t="s">
        <v>145</v>
      </c>
      <c r="F3" s="2" t="s">
        <v>146</v>
      </c>
      <c r="H3" s="4" t="s">
        <v>147</v>
      </c>
      <c r="I3" s="15">
        <v>1.4113</v>
      </c>
      <c r="J3" s="4" t="s">
        <v>148</v>
      </c>
      <c r="M3" s="11">
        <v>0.02</v>
      </c>
      <c r="N3" s="22">
        <f>ROUND(454.65/(1+8%)+508.72/(1+8%)^2+563.18/(1+8%)^3+((446.238*(1+2%))/(8%-2%))/(1+8%)^3,3)</f>
        <v>7326.236</v>
      </c>
      <c r="O3" s="22">
        <f>ROUND(454.65/(1+9%)+508.72/(1+9%)^2+563.18/(1+9%)^3+((446.238*(1+2%))/(9%-2%))/(1+9%)^3,3)</f>
        <v>6301.156</v>
      </c>
      <c r="P3" s="22">
        <f>ROUND(454.65/(1+10%)+508.72/(1+10%)^2+563.18/(1+10%)^3+((446.238*(1+2%))/(10%-2%))/(1+10%)^3,3)</f>
        <v>5531.505</v>
      </c>
      <c r="Q3" s="22">
        <f>ROUND(454.65/(1+11%)+508.72/(1+11%)^2+563.18/(1+11%)^3+((446.238*(1+2%))/(11%-2%))/(1+11%)^3,3)</f>
        <v>4932.176</v>
      </c>
      <c r="R3" s="22">
        <f>ROUND(454.65/(1+12%)+508.72/(1+12%)^2+563.18/(1+12%)^3+((446.238*(1+2%))/(12%-2%))/(1+12%)^3,3)</f>
        <v>4452.105</v>
      </c>
    </row>
    <row r="4" ht="22.5" customHeight="1">
      <c r="A4" s="4" t="s">
        <v>149</v>
      </c>
      <c r="B4" s="23">
        <f>SUM(B2:B3)</f>
        <v>9254.7</v>
      </c>
      <c r="E4" s="4" t="s">
        <v>149</v>
      </c>
      <c r="F4" s="2" t="s">
        <v>150</v>
      </c>
      <c r="H4" s="4" t="s">
        <v>151</v>
      </c>
      <c r="I4" s="21">
        <v>0.0503</v>
      </c>
      <c r="J4" s="4" t="s">
        <v>152</v>
      </c>
      <c r="M4" s="11">
        <v>0.025</v>
      </c>
      <c r="N4" s="22">
        <f>ROUND(454.65/(1+8%)+508.72/(1+8%)^2+563.18/(1+8%)^3+((446.238*(1+2.5%))/(8%-2.5%))/(1+8%)^3,3)</f>
        <v>7905.898</v>
      </c>
      <c r="O4" s="22">
        <f>ROUND(454.65/(1+9%)+508.72/(1+9%)^2+563.18/(1+9%)^3+((446.238*(1+2.5%))/(9%-2.5%))/(1+9%)^3,3)</f>
        <v>6713.892</v>
      </c>
      <c r="P4" s="22">
        <f>ROUND(454.65/(1+10%)+508.72/(1+10%)^2+563.18/(1+10%)^3+((446.238*(1+2.5%))/(10%-2.5%))/(1+10%)^3,3)</f>
        <v>5838.831</v>
      </c>
      <c r="Q4" s="22">
        <f>ROUND(454.65/(1+11%)+508.72/(1+11%)^2+563.18/(1+11%)^3+((446.238*(1+2.5%))/(11%-2.5%))/(1+11%)^3,3)</f>
        <v>5168.893</v>
      </c>
      <c r="R4" s="22">
        <f>ROUND(454.65/(1+12%)+508.72/(1+12%)^2+563.18/(1+12%)^3+((446.238*(1+2.5%))/(12%-2.5%))/(1+12%)^3,3)</f>
        <v>4639.336</v>
      </c>
    </row>
    <row r="5" ht="22.5" customHeight="1">
      <c r="A5" s="4" t="s">
        <v>153</v>
      </c>
      <c r="B5" s="21">
        <v>0.1234</v>
      </c>
      <c r="E5" s="4" t="s">
        <v>154</v>
      </c>
      <c r="F5" s="2" t="s">
        <v>155</v>
      </c>
      <c r="H5" s="7" t="s">
        <v>153</v>
      </c>
      <c r="I5" s="21">
        <f>I2+(I3*I4)</f>
        <v>0.12338039</v>
      </c>
      <c r="J5" s="4" t="s">
        <v>156</v>
      </c>
      <c r="M5" s="11">
        <v>0.03</v>
      </c>
      <c r="N5" s="22">
        <f>ROUND(454.65/(1+8%)+508.72/(1+8%)^2+563.18/(1+8%)^3+((446.238*(1+3%))/(8%-3%))/(1+8%)^3,3)</f>
        <v>8601.493</v>
      </c>
      <c r="O5" s="22">
        <f>ROUND(454.65/(1+9%)+508.72/(1+9%)^2+563.18/(1+9%)^3+((446.238*(1+3%))/(9%-3%))/(1+9%)^3,3)</f>
        <v>7195.417</v>
      </c>
      <c r="P5" s="22">
        <f>ROUND(454.65/(1+10%)+508.72/(1+10%)^2+563.18/(1+10%)^3+((446.238*(1+3%))/(10%-3%))/(1+10%)^3,3)</f>
        <v>6190.062</v>
      </c>
      <c r="Q5" s="22">
        <f>ROUND(454.65/(1+11%)+508.72/(1+11%)^2+563.18/(1+11%)^3+((446.238*(1+3%))/(11%-3%))/(1+11%)^3,3)</f>
        <v>5435.2</v>
      </c>
      <c r="R5" s="22">
        <f>ROUND(454.65/(1+12%)+508.72/(1+12%)^2+563.18/(1+12%)^3+((446.238*(1+3%))/(12%-3%))/(1+12%)^3,3)</f>
        <v>4847.37</v>
      </c>
    </row>
    <row r="6" ht="22.5" customHeight="1">
      <c r="A6" s="4" t="s">
        <v>157</v>
      </c>
      <c r="B6" s="11">
        <v>0.0535</v>
      </c>
      <c r="E6" s="4" t="s">
        <v>158</v>
      </c>
      <c r="F6" s="2" t="s">
        <v>159</v>
      </c>
      <c r="M6" s="11">
        <v>0.035</v>
      </c>
      <c r="N6" s="22">
        <f>ROUND(454.65/(1+8%)+508.72/(1+8%)^2+563.18/(1+8%)^3+((446.238*(1+3.5%))/(8%-3.5%))/(1+8%)^3,3)</f>
        <v>9451.665</v>
      </c>
      <c r="O6" s="22">
        <f>ROUND(454.65/(1+9%)+508.72/(1+9%)^2+563.18/(1+9%)^3+((446.238*(1+3.5%))/(9%-3.5%))/(1+9%)^3,3)</f>
        <v>7764.492</v>
      </c>
      <c r="P6" s="22">
        <f>ROUND(454.65/(1+10%)+508.72/(1+10%)^2+563.18/(1+10%)^3+((446.238*(1+3.5%))/(10%-3.5%))/(1+10%)^3,3)</f>
        <v>6595.327</v>
      </c>
      <c r="Q6" s="22">
        <f>ROUND(454.65/(1+11%)+508.72/(1+11%)^2+563.18/(1+11%)^3+((446.238*(1+3.5%))/(11%-3.5%))/(1+11%)^3,3)</f>
        <v>5737.014</v>
      </c>
      <c r="R6" s="22">
        <f>ROUND(454.65/(1+12%)+508.72/(1+12%)^2+563.18/(1+12%)^3+((446.238*(1+3.5%))/(12%-3.5%))/(1+12%)^3,3)</f>
        <v>5079.878</v>
      </c>
    </row>
    <row r="7" ht="22.5" customHeight="1">
      <c r="A7" s="4" t="s">
        <v>81</v>
      </c>
      <c r="B7" s="11">
        <v>0.2449</v>
      </c>
      <c r="E7" s="4" t="s">
        <v>160</v>
      </c>
      <c r="F7" s="4" t="s">
        <v>161</v>
      </c>
    </row>
    <row r="8" ht="22.5" customHeight="1">
      <c r="A8" s="4" t="s">
        <v>162</v>
      </c>
      <c r="B8" s="22">
        <f>ROUND(B2/B4,4)</f>
        <v>0.9638</v>
      </c>
      <c r="E8" s="4" t="s">
        <v>163</v>
      </c>
      <c r="F8" s="4" t="s">
        <v>164</v>
      </c>
      <c r="H8" s="3" t="s">
        <v>0</v>
      </c>
      <c r="I8" s="5" t="s">
        <v>24</v>
      </c>
    </row>
    <row r="9" ht="22.5" customHeight="1">
      <c r="A9" s="4" t="s">
        <v>165</v>
      </c>
      <c r="B9" s="22">
        <f>ROUND(B3/B4,4)</f>
        <v>0.0362</v>
      </c>
      <c r="E9" s="4" t="s">
        <v>166</v>
      </c>
      <c r="F9" s="2" t="s">
        <v>167</v>
      </c>
      <c r="H9" s="4" t="s">
        <v>168</v>
      </c>
      <c r="I9" s="15">
        <v>563.18</v>
      </c>
    </row>
    <row r="10" ht="22.5" customHeight="1">
      <c r="A10" s="7" t="s">
        <v>169</v>
      </c>
      <c r="B10" s="22">
        <f>ROUND((B8*B5)+(B9*B6*(1-B7)),4)</f>
        <v>0.1204</v>
      </c>
      <c r="E10" s="4" t="s">
        <v>170</v>
      </c>
      <c r="F10" s="4" t="s">
        <v>171</v>
      </c>
      <c r="H10" s="4" t="s">
        <v>169</v>
      </c>
      <c r="I10" s="15">
        <v>0.1204</v>
      </c>
    </row>
    <row r="11" ht="22.5" customHeight="1">
      <c r="E11" s="4" t="s">
        <v>147</v>
      </c>
      <c r="F11" s="2" t="s">
        <v>172</v>
      </c>
      <c r="H11" s="4" t="s">
        <v>173</v>
      </c>
      <c r="I11" s="21">
        <v>0.025</v>
      </c>
    </row>
    <row r="12" ht="22.5" customHeight="1">
      <c r="E12" s="4" t="s">
        <v>157</v>
      </c>
      <c r="F12" s="2" t="s">
        <v>174</v>
      </c>
      <c r="H12" s="4" t="s">
        <v>175</v>
      </c>
      <c r="I12" s="15">
        <f>ROUND((I9*(1+I11))/I10-0.025,4)</f>
        <v>4794.4891</v>
      </c>
    </row>
    <row r="13" ht="22.5" customHeight="1">
      <c r="E13" s="4" t="s">
        <v>176</v>
      </c>
      <c r="F13" s="2" t="s">
        <v>177</v>
      </c>
      <c r="H13" s="4" t="s">
        <v>178</v>
      </c>
      <c r="I13" s="15">
        <f>ROUND(1/(1+I10)^3,4)</f>
        <v>0.711</v>
      </c>
    </row>
    <row r="14" ht="22.5" customHeight="1">
      <c r="E14" s="4" t="s">
        <v>175</v>
      </c>
      <c r="F14" s="2" t="s">
        <v>179</v>
      </c>
      <c r="H14" s="4" t="s">
        <v>180</v>
      </c>
      <c r="I14" s="15">
        <f>ROUND(I12*I13,3)</f>
        <v>3408.882</v>
      </c>
    </row>
    <row r="15" ht="22.5" customHeight="1">
      <c r="E15" s="4" t="s">
        <v>181</v>
      </c>
      <c r="F15" s="2" t="s">
        <v>182</v>
      </c>
    </row>
    <row r="16" ht="22.5" customHeight="1">
      <c r="E16" s="4" t="s">
        <v>173</v>
      </c>
      <c r="F16" s="2" t="s">
        <v>183</v>
      </c>
    </row>
    <row r="17" ht="22.5" customHeight="1">
      <c r="E17" s="7" t="s">
        <v>169</v>
      </c>
      <c r="F17" s="2" t="s">
        <v>184</v>
      </c>
      <c r="H17" s="3" t="s">
        <v>185</v>
      </c>
      <c r="I17" s="5" t="s">
        <v>186</v>
      </c>
    </row>
    <row r="18" ht="22.5" customHeight="1">
      <c r="E18" s="7" t="s">
        <v>187</v>
      </c>
      <c r="F18" s="4" t="s">
        <v>188</v>
      </c>
      <c r="H18" s="4" t="s">
        <v>189</v>
      </c>
      <c r="I18" s="15">
        <v>1211.52</v>
      </c>
    </row>
    <row r="19" ht="22.5" customHeight="1">
      <c r="E19" s="4" t="s">
        <v>190</v>
      </c>
      <c r="F19" s="4" t="s">
        <v>191</v>
      </c>
      <c r="H19" s="4" t="s">
        <v>180</v>
      </c>
      <c r="I19" s="15">
        <v>3408.882</v>
      </c>
    </row>
    <row r="20" ht="22.5" customHeight="1">
      <c r="E20" s="4" t="s">
        <v>192</v>
      </c>
      <c r="F20" s="4" t="s">
        <v>193</v>
      </c>
      <c r="H20" s="4" t="s">
        <v>124</v>
      </c>
      <c r="I20" s="15">
        <v>4620.412</v>
      </c>
    </row>
    <row r="21" ht="22.5" customHeight="1">
      <c r="E21" s="4" t="s">
        <v>194</v>
      </c>
      <c r="F21" s="4" t="s">
        <v>195</v>
      </c>
      <c r="H21" s="4" t="s">
        <v>196</v>
      </c>
      <c r="I21" s="15">
        <v>27802.2</v>
      </c>
    </row>
    <row r="22" ht="22.5" customHeight="1">
      <c r="H22" s="4" t="s">
        <v>197</v>
      </c>
      <c r="I22" s="15">
        <v>334.7</v>
      </c>
    </row>
    <row r="23" ht="22.5" customHeight="1">
      <c r="H23" s="4" t="s">
        <v>190</v>
      </c>
      <c r="I23" s="15">
        <f>I20+I21-I22</f>
        <v>32087.912</v>
      </c>
    </row>
  </sheetData>
  <dataValidations>
    <dataValidation type="custom" allowBlank="1" showDropDown="1" sqref="M2:M6">
      <formula1>AND(ISNUMBER(M2),(NOT(OR(NOT(ISERROR(DATEVALUE(M2))), AND(ISNUMBER(M2), LEFT(CELL("format", M2))="D")))))</formula1>
    </dataValidation>
  </dataValidations>
  <drawing r:id="rId2"/>
  <legacyDrawing r:id="rId3"/>
  <tableParts count="6">
    <tablePart r:id="rId10"/>
    <tablePart r:id="rId11"/>
    <tablePart r:id="rId12"/>
    <tablePart r:id="rId13"/>
    <tablePart r:id="rId14"/>
    <tablePart r:id="rId15"/>
  </tableParts>
</worksheet>
</file>