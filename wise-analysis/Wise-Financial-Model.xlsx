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Financials" sheetId="1" r:id="rId5"/>
    <sheet state="visible" name="Ratios" sheetId="2" r:id="rId6"/>
    <sheet state="visible" name="Drivers &amp; Assumptions" sheetId="3" r:id="rId7"/>
  </sheets>
  <definedNames/>
  <calcPr/>
</workbook>
</file>

<file path=xl/sharedStrings.xml><?xml version="1.0" encoding="utf-8"?>
<sst xmlns="http://schemas.openxmlformats.org/spreadsheetml/2006/main" count="74" uniqueCount="68">
  <si>
    <t>Ratio / Metric</t>
  </si>
  <si>
    <t>A</t>
  </si>
  <si>
    <t>Driver</t>
  </si>
  <si>
    <t>Historical observation</t>
  </si>
  <si>
    <t>FY2024</t>
  </si>
  <si>
    <t>FY2025</t>
  </si>
  <si>
    <t>B</t>
  </si>
  <si>
    <t>FY2026</t>
  </si>
  <si>
    <t>Forecast assumption</t>
  </si>
  <si>
    <t>C</t>
  </si>
  <si>
    <t>FY2027 - F</t>
  </si>
  <si>
    <t>Reason</t>
  </si>
  <si>
    <t>D</t>
  </si>
  <si>
    <t>FY2028 - F</t>
  </si>
  <si>
    <t>FY2029 - F</t>
  </si>
  <si>
    <t>Customer growth</t>
  </si>
  <si>
    <t>E</t>
  </si>
  <si>
    <t>Revenue Growth</t>
  </si>
  <si>
    <t>Strong growth in customers</t>
  </si>
  <si>
    <t>F</t>
  </si>
  <si>
    <t>Continued geographic expansion</t>
  </si>
  <si>
    <t>G</t>
  </si>
  <si>
    <t>Transaction volume</t>
  </si>
  <si>
    <t>H</t>
  </si>
  <si>
    <t>Financial Metric</t>
  </si>
  <si>
    <t>Increasing as customers grow</t>
  </si>
  <si>
    <t>FY2023 - A</t>
  </si>
  <si>
    <t>Higher customer usage</t>
  </si>
  <si>
    <t>FY2024 - A</t>
  </si>
  <si>
    <t>FY2025 - A</t>
  </si>
  <si>
    <t>FY2026 - A</t>
  </si>
  <si>
    <t>Geographic expansion</t>
  </si>
  <si>
    <t>Increasing</t>
  </si>
  <si>
    <t>continued exspansion</t>
  </si>
  <si>
    <t>Wise adding markets and licences</t>
  </si>
  <si>
    <t>Product usage</t>
  </si>
  <si>
    <t>Net Revenue</t>
  </si>
  <si>
    <t>Customers are using Wise for more everyday financial activity</t>
  </si>
  <si>
    <t>Pricing</t>
  </si>
  <si>
    <t xml:space="preserve"> reduced prices over time - more competitive</t>
  </si>
  <si>
    <t>gradual reduction</t>
  </si>
  <si>
    <t>Lower prices can support customer and transaction growth</t>
  </si>
  <si>
    <t>FY2027 Scenario</t>
  </si>
  <si>
    <t>Bear</t>
  </si>
  <si>
    <t>Base</t>
  </si>
  <si>
    <t>Bull</t>
  </si>
  <si>
    <t>Revenue</t>
  </si>
  <si>
    <t>Operating Profit Growth</t>
  </si>
  <si>
    <t>Operating Margin</t>
  </si>
  <si>
    <t>Operating Profit</t>
  </si>
  <si>
    <t>Net Income*</t>
  </si>
  <si>
    <t>Capex</t>
  </si>
  <si>
    <t>Total Operating Expenses</t>
  </si>
  <si>
    <t>Free Cash Flow*</t>
  </si>
  <si>
    <t>Net Income Growth</t>
  </si>
  <si>
    <t>Operating Income</t>
  </si>
  <si>
    <t>Income Before Tax</t>
  </si>
  <si>
    <t>Free Cash Flow Growth</t>
  </si>
  <si>
    <t>Net Income</t>
  </si>
  <si>
    <t>Total Assets</t>
  </si>
  <si>
    <t>Cash &amp; Cash Equivalents</t>
  </si>
  <si>
    <t>Net Profit Margin</t>
  </si>
  <si>
    <t>Total Debt</t>
  </si>
  <si>
    <t>Total Liabilities</t>
  </si>
  <si>
    <t>Shareholders' Equity</t>
  </si>
  <si>
    <t>Operating Cash Flow</t>
  </si>
  <si>
    <t>Capital Expenditure</t>
  </si>
  <si>
    <t>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</si>
</sst>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4" xfId="0" applyAlignment="1" applyFont="1" applyNumberFormat="1">
      <alignment horizontal="right" readingOrder="0" shrinkToFit="0" vertical="center" wrapText="0"/>
    </xf>
    <xf borderId="0" fillId="0" fontId="2" numFmtId="9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Historical Financ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ivers &amp; Assum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t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ivers &amp; Assumption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able1" name="Table1" id="3">
  <tableColumns count="8">
    <tableColumn name="A" id="1"/>
    <tableColumn name="B" id="2"/>
    <tableColumn name="C" id="3"/>
    <tableColumn name="D" id="4"/>
    <tableColumn name="E" id="5"/>
    <tableColumn name="F" id="6"/>
    <tableColumn name="G" id="7"/>
    <tableColumn name="H" id="8"/>
  </tableColumns>
  <tableStyleInfo name="Historical Financials-style" showColumnStripes="0" showFirstColumn="1" showLastColumn="1" showRowStripes="1"/>
</table>
</file>

<file path=xl/tables/table2.xml><?xml version="1.0" encoding="utf-8"?>
<table xmlns="http://schemas.openxmlformats.org/spreadsheetml/2006/main" ref="A1:G15" displayName="Table2" name="Table2" id="1">
  <tableColumns count="7">
    <tableColumn name="Ratio / Metric" id="1"/>
    <tableColumn name="FY2024" id="2"/>
    <tableColumn name="FY2025" id="3"/>
    <tableColumn name="FY2026" id="4"/>
    <tableColumn name="FY2027 - F" id="5"/>
    <tableColumn name="FY2028 - F" id="6"/>
    <tableColumn name="FY2029 - F" id="7"/>
  </tableColumns>
  <tableStyleInfo name="Ratios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3" name="Table3" id="2">
  <tableColumns count="4">
    <tableColumn name="Driver" id="1"/>
    <tableColumn name="Historical observation" id="2"/>
    <tableColumn name="Forecast assumption" id="3"/>
    <tableColumn name="Reason" id="4"/>
  </tableColumns>
  <tableStyleInfo name="Drivers &amp; Assumptions-style" showColumnStripes="0" showFirstColumn="1" showLastColumn="1" showRowStripes="1"/>
</table>
</file>

<file path=xl/tables/table4.xml><?xml version="1.0" encoding="utf-8"?>
<table xmlns="http://schemas.openxmlformats.org/spreadsheetml/2006/main" ref="A8:D14" displayName="Table4" name="Table4" id="4">
  <tableColumns count="4">
    <tableColumn name="FY2027 Scenario" id="1"/>
    <tableColumn name="Bear" id="2"/>
    <tableColumn name="Base" id="3"/>
    <tableColumn name="Bull" id="4"/>
  </tableColumns>
  <tableStyleInfo name="Drivers &amp; Assumption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3" width="15.5"/>
    <col customWidth="1" min="4" max="4" width="17.63"/>
    <col customWidth="1" min="5" max="8" width="17.88"/>
    <col customWidth="1" min="9" max="10" width="22.63"/>
  </cols>
  <sheetData>
    <row r="1" ht="22.5" customHeight="1">
      <c r="A1" s="2" t="s">
        <v>1</v>
      </c>
      <c r="B1" s="2" t="s">
        <v>6</v>
      </c>
      <c r="C1" s="2" t="s">
        <v>9</v>
      </c>
      <c r="D1" s="2" t="s">
        <v>12</v>
      </c>
      <c r="E1" s="2" t="s">
        <v>16</v>
      </c>
      <c r="F1" s="2" t="s">
        <v>19</v>
      </c>
      <c r="G1" s="2" t="s">
        <v>21</v>
      </c>
      <c r="H1" s="2" t="s">
        <v>23</v>
      </c>
    </row>
    <row r="2" ht="22.5" customHeight="1">
      <c r="A2" s="5" t="s">
        <v>24</v>
      </c>
      <c r="B2" s="1" t="s">
        <v>26</v>
      </c>
      <c r="C2" s="1" t="s">
        <v>28</v>
      </c>
      <c r="D2" s="1" t="s">
        <v>29</v>
      </c>
      <c r="E2" s="1" t="s">
        <v>30</v>
      </c>
      <c r="F2" s="1" t="s">
        <v>10</v>
      </c>
      <c r="G2" s="1" t="s">
        <v>13</v>
      </c>
      <c r="H2" s="1" t="s">
        <v>14</v>
      </c>
    </row>
    <row r="3" ht="22.5" customHeight="1">
      <c r="A3" s="3" t="s">
        <v>36</v>
      </c>
      <c r="B3" s="8">
        <v>1020.4</v>
      </c>
      <c r="C3" s="3">
        <v>1776.1</v>
      </c>
      <c r="D3" s="3">
        <v>2098.9</v>
      </c>
      <c r="E3" s="3">
        <v>2502.8</v>
      </c>
      <c r="F3" s="3">
        <f>E3*(1+Ratios!E2)</f>
        <v>2940.79</v>
      </c>
      <c r="G3" s="3">
        <f>F3*(1+Ratios!F2)</f>
        <v>3440.7243</v>
      </c>
      <c r="H3" s="3">
        <f>G3*(1+Ratios!G2)</f>
        <v>3991.240188</v>
      </c>
    </row>
    <row r="4" ht="22.5" customHeight="1">
      <c r="A4" s="3" t="s">
        <v>52</v>
      </c>
      <c r="B4" s="8">
        <v>580.1</v>
      </c>
      <c r="C4" s="8">
        <v>1126.0</v>
      </c>
      <c r="D4" s="8">
        <v>1370.7</v>
      </c>
      <c r="E4" s="8">
        <v>1912.1</v>
      </c>
      <c r="F4" s="8">
        <v>2283.19</v>
      </c>
      <c r="G4" s="8">
        <v>2702.12</v>
      </c>
      <c r="H4" s="8">
        <v>3170.13</v>
      </c>
    </row>
    <row r="5" ht="22.5" customHeight="1">
      <c r="A5" s="3" t="s">
        <v>55</v>
      </c>
      <c r="B5" s="3">
        <v>189.6</v>
      </c>
      <c r="C5" s="3">
        <v>650.1</v>
      </c>
      <c r="D5" s="3">
        <v>728.2</v>
      </c>
      <c r="E5" s="3">
        <v>590.7</v>
      </c>
      <c r="F5" s="3">
        <v>657.6</v>
      </c>
      <c r="G5" s="3">
        <v>738.62</v>
      </c>
      <c r="H5" s="3">
        <v>821.1</v>
      </c>
    </row>
    <row r="6" ht="22.5" customHeight="1">
      <c r="A6" s="3" t="s">
        <v>56</v>
      </c>
      <c r="B6" s="3">
        <v>176.7</v>
      </c>
      <c r="C6" s="3">
        <v>656.7</v>
      </c>
      <c r="D6" s="3">
        <v>717.5</v>
      </c>
      <c r="E6" s="3">
        <v>660.4</v>
      </c>
      <c r="F6" s="3"/>
      <c r="G6" s="3"/>
      <c r="H6" s="3"/>
    </row>
    <row r="7" ht="22.5" customHeight="1">
      <c r="A7" s="3" t="s">
        <v>58</v>
      </c>
      <c r="B7" s="3">
        <v>137.5</v>
      </c>
      <c r="C7" s="3">
        <v>501.5</v>
      </c>
      <c r="D7" s="3">
        <v>550.3</v>
      </c>
      <c r="E7" s="3">
        <v>498.7</v>
      </c>
      <c r="F7" s="3">
        <v>555.1</v>
      </c>
      <c r="G7" s="3">
        <v>623.5</v>
      </c>
      <c r="H7" s="3">
        <v>693.2</v>
      </c>
    </row>
    <row r="8" ht="22.5" customHeight="1">
      <c r="A8" s="3" t="s">
        <v>59</v>
      </c>
      <c r="B8" s="8">
        <v>14695.7</v>
      </c>
      <c r="C8" s="8">
        <v>19022.5</v>
      </c>
      <c r="D8" s="8">
        <v>24781.1</v>
      </c>
      <c r="E8" s="8">
        <v>33259.8</v>
      </c>
      <c r="F8" s="8"/>
      <c r="G8" s="8"/>
      <c r="H8" s="8"/>
    </row>
    <row r="9" ht="22.5" customHeight="1">
      <c r="A9" s="3" t="s">
        <v>60</v>
      </c>
      <c r="B9" s="8">
        <v>9480.2</v>
      </c>
      <c r="C9" s="8">
        <v>13245.7</v>
      </c>
      <c r="D9" s="8">
        <v>18066.3</v>
      </c>
      <c r="E9" s="8">
        <v>27802.2</v>
      </c>
      <c r="F9" s="8"/>
      <c r="G9" s="8"/>
      <c r="H9" s="8"/>
    </row>
    <row r="10" ht="22.5" customHeight="1">
      <c r="A10" s="3" t="s">
        <v>62</v>
      </c>
      <c r="B10" s="3">
        <v>326.4</v>
      </c>
      <c r="C10" s="3">
        <v>256.1</v>
      </c>
      <c r="D10" s="3">
        <v>128.4</v>
      </c>
      <c r="E10" s="3">
        <v>334.7</v>
      </c>
      <c r="F10" s="3"/>
      <c r="G10" s="3"/>
      <c r="H10" s="3"/>
    </row>
    <row r="11" ht="22.5" customHeight="1">
      <c r="A11" s="3" t="s">
        <v>63</v>
      </c>
      <c r="B11" s="8">
        <v>13983.6</v>
      </c>
      <c r="C11" s="8">
        <v>17857.4</v>
      </c>
      <c r="D11" s="8">
        <v>23043.7</v>
      </c>
      <c r="E11" s="8">
        <v>31334.6</v>
      </c>
      <c r="F11" s="8"/>
      <c r="G11" s="8"/>
      <c r="H11" s="8"/>
    </row>
    <row r="12" ht="22.5" customHeight="1">
      <c r="A12" s="3" t="s">
        <v>64</v>
      </c>
      <c r="B12" s="8">
        <v>712.2</v>
      </c>
      <c r="C12" s="8">
        <v>1165.1</v>
      </c>
      <c r="D12" s="8">
        <v>1737.4</v>
      </c>
      <c r="E12" s="8">
        <v>1925.2</v>
      </c>
      <c r="F12" s="8"/>
      <c r="G12" s="8"/>
      <c r="H12" s="8"/>
    </row>
    <row r="13" ht="22.5" customHeight="1">
      <c r="A13" s="3" t="s">
        <v>65</v>
      </c>
      <c r="B13" s="8">
        <v>4727.4</v>
      </c>
      <c r="C13" s="8">
        <v>4075.1</v>
      </c>
      <c r="D13" s="8">
        <v>5719.5</v>
      </c>
      <c r="E13" s="8">
        <v>7553.9</v>
      </c>
      <c r="F13" s="8">
        <v>857.1</v>
      </c>
      <c r="G13" s="8">
        <v>1033.2</v>
      </c>
      <c r="H13" s="8">
        <v>1237.3</v>
      </c>
    </row>
    <row r="14" ht="22.5" customHeight="1">
      <c r="A14" s="3" t="s">
        <v>66</v>
      </c>
      <c r="B14" s="3">
        <v>10.6</v>
      </c>
      <c r="C14" s="3">
        <v>16.4</v>
      </c>
      <c r="D14" s="3">
        <v>45.3</v>
      </c>
      <c r="E14" s="3">
        <v>21.4</v>
      </c>
      <c r="F14" s="3">
        <v>29.41</v>
      </c>
      <c r="G14" s="3">
        <v>34.41</v>
      </c>
      <c r="H14" s="3">
        <v>39.91</v>
      </c>
    </row>
    <row r="15" ht="22.5" customHeight="1">
      <c r="A15" s="3" t="s">
        <v>67</v>
      </c>
      <c r="B15" s="3">
        <v>188.1</v>
      </c>
      <c r="C15" s="3">
        <v>586.8</v>
      </c>
      <c r="D15" s="3">
        <v>742.2</v>
      </c>
      <c r="E15" s="3">
        <v>705.4</v>
      </c>
      <c r="F15" s="3">
        <v>827.4</v>
      </c>
      <c r="G15" s="3">
        <v>998.0</v>
      </c>
      <c r="H15" s="8">
        <v>1197.4</v>
      </c>
    </row>
    <row r="16" ht="22.5" customHeight="1">
      <c r="A16" s="3"/>
      <c r="B16" s="13"/>
      <c r="C16" s="13"/>
      <c r="D16" s="13"/>
      <c r="E16" s="13"/>
      <c r="F16" s="13"/>
      <c r="G16" s="13"/>
      <c r="H16" s="1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9.25"/>
    <col customWidth="1" min="3" max="3" width="19.38"/>
    <col customWidth="1" min="4" max="7" width="18.88"/>
    <col customWidth="1" min="8" max="9" width="22.63"/>
  </cols>
  <sheetData>
    <row r="1" ht="22.5" customHeight="1">
      <c r="A1" s="2" t="s">
        <v>0</v>
      </c>
      <c r="B1" s="2" t="s">
        <v>4</v>
      </c>
      <c r="C1" s="2" t="s">
        <v>5</v>
      </c>
      <c r="D1" s="2" t="s">
        <v>7</v>
      </c>
      <c r="E1" s="2" t="s">
        <v>10</v>
      </c>
      <c r="F1" s="2" t="s">
        <v>13</v>
      </c>
      <c r="G1" s="2" t="s">
        <v>14</v>
      </c>
    </row>
    <row r="2" ht="22.5" customHeight="1">
      <c r="A2" s="3" t="s">
        <v>17</v>
      </c>
      <c r="B2" s="6">
        <f>'Historical Financials'!C3/'Historical Financials'!B3-1</f>
        <v>0.7405919247</v>
      </c>
      <c r="C2" s="7">
        <f>('Historical Financials'!D3-'Historical Financials'!C3)/'Historical Financials'!C3</f>
        <v>0.1817465233</v>
      </c>
      <c r="D2" s="7">
        <f>('Historical Financials'!E3-'Historical Financials'!D3)/'Historical Financials'!D3</f>
        <v>0.1924341322</v>
      </c>
      <c r="E2" s="6">
        <v>0.175</v>
      </c>
      <c r="F2" s="6">
        <v>0.17</v>
      </c>
      <c r="G2" s="6">
        <v>0.16</v>
      </c>
    </row>
    <row r="3" ht="22.5" customHeight="1">
      <c r="A3" s="3" t="s">
        <v>47</v>
      </c>
      <c r="B3" s="7">
        <f>'Historical Financials'!C5/'Historical Financials'!B5-1</f>
        <v>2.428797468</v>
      </c>
      <c r="C3" s="7">
        <f>('Historical Financials'!D5-'Historical Financials'!C5)/'Historical Financials'!C5</f>
        <v>0.1201353638</v>
      </c>
      <c r="D3" s="7">
        <f>('Historical Financials'!E5-'Historical Financials'!D5)/'Historical Financials'!D5</f>
        <v>-0.1888217523</v>
      </c>
      <c r="E3" s="7"/>
      <c r="F3" s="7"/>
      <c r="G3" s="7"/>
    </row>
    <row r="4" ht="22.5" customHeight="1">
      <c r="A4" s="3" t="s">
        <v>54</v>
      </c>
      <c r="B4" s="7">
        <f>'Historical Financials'!C7/'Historical Financials'!B7-1</f>
        <v>2.647272727</v>
      </c>
      <c r="C4" s="7">
        <f>('Historical Financials'!D7-'Historical Financials'!C7)/'Historical Financials'!C7</f>
        <v>0.09730807577</v>
      </c>
      <c r="D4" s="7">
        <f>('Historical Financials'!E7-'Historical Financials'!D7)/'Historical Financials'!D7</f>
        <v>-0.09376703616</v>
      </c>
      <c r="E4" s="7"/>
      <c r="F4" s="7"/>
      <c r="G4" s="7"/>
    </row>
    <row r="5" ht="22.5" customHeight="1">
      <c r="A5" s="3" t="s">
        <v>57</v>
      </c>
      <c r="B5" s="7">
        <f>'Historical Financials'!C15/'Historical Financials'!B15-1</f>
        <v>2.119617225</v>
      </c>
      <c r="C5" s="7">
        <f>('Historical Financials'!D15-'Historical Financials'!C15)/'Historical Financials'!C15</f>
        <v>0.2648261759</v>
      </c>
      <c r="D5" s="7">
        <f>('Historical Financials'!E15-'Historical Financials'!D15)/'Historical Financials'!D15</f>
        <v>-0.04958232282</v>
      </c>
      <c r="E5" s="7"/>
      <c r="F5" s="7"/>
      <c r="G5" s="7"/>
    </row>
    <row r="6" ht="22.5" customHeight="1">
      <c r="A6" s="3" t="s">
        <v>48</v>
      </c>
      <c r="B6" s="7">
        <f>'Historical Financials'!C5/'Historical Financials'!C3</f>
        <v>0.3660266877</v>
      </c>
      <c r="C6" s="7">
        <f>'Historical Financials'!D5/'Historical Financials'!D3</f>
        <v>0.3469436371</v>
      </c>
      <c r="D6" s="7">
        <f>'Historical Financials'!E5/'Historical Financials'!E3</f>
        <v>0.2360156625</v>
      </c>
      <c r="E6" s="7"/>
      <c r="F6" s="7"/>
      <c r="G6" s="7"/>
    </row>
    <row r="7" ht="22.5" customHeight="1">
      <c r="A7" s="3" t="s">
        <v>61</v>
      </c>
      <c r="B7" s="7">
        <f>'Historical Financials'!C7/'Historical Financials'!C3</f>
        <v>0.2823602275</v>
      </c>
      <c r="C7" s="7">
        <f>'Historical Financials'!D7/'Historical Financials'!D3</f>
        <v>0.262184954</v>
      </c>
      <c r="D7" s="7">
        <f>'Historical Financials'!E7/'Historical Financials'!E3</f>
        <v>0.1992568323</v>
      </c>
      <c r="E7" s="7"/>
      <c r="F7" s="7"/>
      <c r="G7" s="7"/>
    </row>
    <row r="8" ht="22.5" customHeight="1">
      <c r="A8" s="13"/>
      <c r="B8" s="7"/>
      <c r="C8" s="7"/>
      <c r="D8" s="7"/>
      <c r="E8" s="7"/>
      <c r="F8" s="7"/>
      <c r="G8" s="7"/>
    </row>
    <row r="9" ht="22.5" customHeight="1">
      <c r="A9" s="13"/>
      <c r="B9" s="7"/>
      <c r="C9" s="7"/>
      <c r="D9" s="7"/>
      <c r="E9" s="7"/>
      <c r="F9" s="7"/>
      <c r="G9" s="7"/>
    </row>
    <row r="10" ht="22.5" customHeight="1">
      <c r="A10" s="13"/>
      <c r="B10" s="7"/>
      <c r="C10" s="7"/>
      <c r="D10" s="7"/>
      <c r="E10" s="7"/>
      <c r="F10" s="7"/>
      <c r="G10" s="7"/>
    </row>
    <row r="11" ht="22.5" customHeight="1">
      <c r="A11" s="13"/>
      <c r="B11" s="7"/>
      <c r="C11" s="7"/>
      <c r="D11" s="7"/>
      <c r="E11" s="7"/>
      <c r="F11" s="7"/>
      <c r="G11" s="7"/>
    </row>
    <row r="12" ht="22.5" customHeight="1">
      <c r="A12" s="13"/>
      <c r="B12" s="7"/>
      <c r="C12" s="7"/>
      <c r="D12" s="7"/>
      <c r="E12" s="7"/>
      <c r="F12" s="7"/>
      <c r="G12" s="7"/>
    </row>
    <row r="13" ht="22.5" customHeight="1">
      <c r="A13" s="13"/>
      <c r="B13" s="7"/>
      <c r="C13" s="7"/>
      <c r="D13" s="7"/>
      <c r="E13" s="7"/>
      <c r="F13" s="7"/>
      <c r="G13" s="7"/>
    </row>
    <row r="14" ht="22.5" customHeight="1">
      <c r="A14" s="13"/>
      <c r="B14" s="7"/>
      <c r="C14" s="7"/>
      <c r="D14" s="7"/>
      <c r="E14" s="7"/>
      <c r="F14" s="7"/>
      <c r="G14" s="7"/>
    </row>
    <row r="15" ht="22.5" customHeight="1">
      <c r="A15" s="13"/>
      <c r="B15" s="7"/>
      <c r="C15" s="7"/>
      <c r="D15" s="7"/>
      <c r="E15" s="7"/>
      <c r="F15" s="7"/>
      <c r="G15" s="7"/>
    </row>
  </sheetData>
  <dataValidations>
    <dataValidation type="custom" allowBlank="1" showDropDown="1" sqref="B2:D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9.13"/>
    <col customWidth="1" min="3" max="3" width="24.5"/>
    <col customWidth="1" min="4" max="4" width="47.38"/>
  </cols>
  <sheetData>
    <row r="1" ht="22.5" customHeight="1">
      <c r="A1" s="1" t="s">
        <v>2</v>
      </c>
      <c r="B1" s="1" t="s">
        <v>3</v>
      </c>
      <c r="C1" s="1" t="s">
        <v>8</v>
      </c>
      <c r="D1" s="1" t="s">
        <v>11</v>
      </c>
    </row>
    <row r="2" ht="22.5" customHeight="1">
      <c r="A2" s="3" t="s">
        <v>15</v>
      </c>
      <c r="B2" s="3" t="s">
        <v>18</v>
      </c>
      <c r="C2" s="4">
        <v>0.15</v>
      </c>
      <c r="D2" s="3" t="s">
        <v>20</v>
      </c>
    </row>
    <row r="3" ht="22.5" customHeight="1">
      <c r="A3" s="3" t="s">
        <v>22</v>
      </c>
      <c r="B3" s="3" t="s">
        <v>25</v>
      </c>
      <c r="C3" s="4">
        <v>0.18</v>
      </c>
      <c r="D3" s="3" t="s">
        <v>27</v>
      </c>
    </row>
    <row r="4" ht="22.5" customHeight="1">
      <c r="A4" s="3" t="s">
        <v>31</v>
      </c>
      <c r="B4" s="3" t="s">
        <v>32</v>
      </c>
      <c r="C4" s="3" t="s">
        <v>33</v>
      </c>
      <c r="D4" s="3" t="s">
        <v>34</v>
      </c>
    </row>
    <row r="5" ht="22.5" customHeight="1">
      <c r="A5" s="3" t="s">
        <v>35</v>
      </c>
      <c r="B5" s="3" t="s">
        <v>32</v>
      </c>
      <c r="C5" s="3" t="s">
        <v>32</v>
      </c>
      <c r="D5" s="3" t="s">
        <v>37</v>
      </c>
    </row>
    <row r="6" ht="22.5" customHeight="1">
      <c r="A6" s="3" t="s">
        <v>38</v>
      </c>
      <c r="B6" s="3" t="s">
        <v>39</v>
      </c>
      <c r="C6" s="3" t="s">
        <v>40</v>
      </c>
      <c r="D6" s="3" t="s">
        <v>41</v>
      </c>
    </row>
    <row r="8" ht="22.5" customHeight="1">
      <c r="A8" s="1" t="s">
        <v>42</v>
      </c>
      <c r="B8" s="9" t="s">
        <v>43</v>
      </c>
      <c r="C8" s="9" t="s">
        <v>44</v>
      </c>
      <c r="D8" s="9" t="s">
        <v>45</v>
      </c>
    </row>
    <row r="9" ht="22.5" customHeight="1">
      <c r="A9" s="3" t="s">
        <v>46</v>
      </c>
      <c r="B9" s="10">
        <v>2703.02</v>
      </c>
      <c r="C9" s="10">
        <v>2878.22</v>
      </c>
      <c r="D9" s="10">
        <v>3053.42</v>
      </c>
    </row>
    <row r="10" ht="22.5" customHeight="1">
      <c r="A10" s="3" t="s">
        <v>48</v>
      </c>
      <c r="B10" s="11">
        <v>0.15</v>
      </c>
      <c r="C10" s="11">
        <v>0.2</v>
      </c>
      <c r="D10" s="11">
        <v>0.24</v>
      </c>
    </row>
    <row r="11" ht="22.5" customHeight="1">
      <c r="A11" s="3" t="s">
        <v>49</v>
      </c>
      <c r="B11" s="12">
        <v>405.45</v>
      </c>
      <c r="C11" s="12">
        <v>575.64</v>
      </c>
      <c r="D11" s="12">
        <v>732.82</v>
      </c>
    </row>
    <row r="12" ht="22.5" customHeight="1">
      <c r="A12" s="3" t="s">
        <v>50</v>
      </c>
      <c r="B12" s="12">
        <v>305.35</v>
      </c>
      <c r="C12" s="12">
        <v>433.24</v>
      </c>
      <c r="D12" s="12">
        <v>551.14</v>
      </c>
    </row>
    <row r="13" ht="22.5" customHeight="1">
      <c r="A13" s="3" t="s">
        <v>51</v>
      </c>
      <c r="B13" s="12">
        <v>189.21</v>
      </c>
      <c r="C13" s="12">
        <v>143.91</v>
      </c>
      <c r="D13" s="12">
        <v>122.14</v>
      </c>
    </row>
    <row r="14" ht="22.5" customHeight="1">
      <c r="A14" s="3" t="s">
        <v>53</v>
      </c>
      <c r="B14" s="12">
        <v>667.89</v>
      </c>
      <c r="C14" s="12">
        <v>719.31</v>
      </c>
      <c r="D14" s="12">
        <v>798.87</v>
      </c>
    </row>
  </sheetData>
  <drawing r:id="rId1"/>
  <tableParts count="2">
    <tablePart r:id="rId4"/>
    <tablePart r:id="rId5"/>
  </tableParts>
</worksheet>
</file>